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workspace_ccs\PacSatDocs\TelemDefinition\"/>
    </mc:Choice>
  </mc:AlternateContent>
  <xr:revisionPtr revIDLastSave="0" documentId="13_ncr:1_{5FC1F0C0-A01E-4884-8DFC-76BB2AD56780}" xr6:coauthVersionLast="47" xr6:coauthVersionMax="47" xr10:uidLastSave="{00000000-0000-0000-0000-000000000000}"/>
  <bookViews>
    <workbookView xWindow="780" yWindow="780" windowWidth="26310" windowHeight="13920" tabRatio="500" xr2:uid="{00000000-000D-0000-FFFF-FFFF00000000}"/>
  </bookViews>
  <sheets>
    <sheet name="DownlinkSpecPacsat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2" i="1" l="1"/>
  <c r="J43" i="1" s="1"/>
  <c r="D20" i="2"/>
  <c r="G20" i="2" s="1"/>
  <c r="H20" i="2" s="1"/>
  <c r="D19" i="2"/>
  <c r="G19" i="2" s="1"/>
  <c r="H19" i="2" s="1"/>
  <c r="G18" i="2"/>
  <c r="H18" i="2" s="1"/>
  <c r="D18" i="2"/>
  <c r="F18" i="2" s="1"/>
  <c r="D17" i="2"/>
  <c r="G17" i="2" s="1"/>
  <c r="H17" i="2" s="1"/>
  <c r="G16" i="2"/>
  <c r="H16" i="2" s="1"/>
  <c r="D16" i="2"/>
  <c r="F16" i="2" s="1"/>
  <c r="H15" i="2"/>
  <c r="G15" i="2"/>
  <c r="F15" i="2"/>
  <c r="D15" i="2"/>
  <c r="H14" i="2"/>
  <c r="G14" i="2"/>
  <c r="F14" i="2"/>
  <c r="D14" i="2"/>
  <c r="D13" i="2"/>
  <c r="G13" i="2" s="1"/>
  <c r="H13" i="2" s="1"/>
  <c r="D12" i="2"/>
  <c r="G12" i="2" s="1"/>
  <c r="H12" i="2" s="1"/>
  <c r="G11" i="2"/>
  <c r="H11" i="2" s="1"/>
  <c r="D11" i="2"/>
  <c r="F11" i="2" s="1"/>
  <c r="D10" i="2"/>
  <c r="G10" i="2" s="1"/>
  <c r="H10" i="2" s="1"/>
  <c r="D9" i="2"/>
  <c r="G9" i="2" s="1"/>
  <c r="H9" i="2" s="1"/>
  <c r="D8" i="2"/>
  <c r="F8" i="2" s="1"/>
  <c r="D7" i="2"/>
  <c r="G7" i="2" s="1"/>
  <c r="H7" i="2" s="1"/>
  <c r="J116" i="1"/>
  <c r="J117" i="1" s="1"/>
  <c r="M115" i="1"/>
  <c r="L115" i="1"/>
  <c r="K115" i="1"/>
  <c r="L108" i="1"/>
  <c r="K108" i="1"/>
  <c r="J108" i="1"/>
  <c r="J109" i="1" s="1"/>
  <c r="M107" i="1"/>
  <c r="L107" i="1"/>
  <c r="K107" i="1"/>
  <c r="J97" i="1"/>
  <c r="J98" i="1" s="1"/>
  <c r="M96" i="1"/>
  <c r="L96" i="1"/>
  <c r="K96" i="1"/>
  <c r="J89" i="1"/>
  <c r="M89" i="1" s="1"/>
  <c r="M88" i="1"/>
  <c r="L88" i="1"/>
  <c r="K88" i="1"/>
  <c r="M85" i="1"/>
  <c r="J85" i="1"/>
  <c r="L85" i="1" s="1"/>
  <c r="M84" i="1"/>
  <c r="L84" i="1"/>
  <c r="K84" i="1"/>
  <c r="J57" i="1"/>
  <c r="J58" i="1" s="1"/>
  <c r="K50" i="1"/>
  <c r="J50" i="1"/>
  <c r="J51" i="1" s="1"/>
  <c r="M49" i="1"/>
  <c r="L49" i="1"/>
  <c r="K49" i="1"/>
  <c r="J22" i="1"/>
  <c r="M22" i="1" s="1"/>
  <c r="M21" i="1"/>
  <c r="L21" i="1"/>
  <c r="K21" i="1"/>
  <c r="J9" i="1"/>
  <c r="K9" i="1" s="1"/>
  <c r="J44" i="1" l="1"/>
  <c r="M43" i="1"/>
  <c r="L43" i="1"/>
  <c r="K43" i="1"/>
  <c r="K42" i="1"/>
  <c r="L42" i="1"/>
  <c r="M42" i="1"/>
  <c r="K51" i="1"/>
  <c r="J52" i="1"/>
  <c r="M51" i="1"/>
  <c r="L51" i="1"/>
  <c r="M117" i="1"/>
  <c r="L117" i="1"/>
  <c r="J118" i="1"/>
  <c r="K117" i="1"/>
  <c r="M58" i="1"/>
  <c r="L58" i="1"/>
  <c r="J59" i="1"/>
  <c r="K58" i="1"/>
  <c r="K98" i="1"/>
  <c r="J99" i="1"/>
  <c r="M98" i="1"/>
  <c r="L98" i="1"/>
  <c r="K109" i="1"/>
  <c r="J110" i="1"/>
  <c r="L109" i="1"/>
  <c r="M109" i="1"/>
  <c r="F7" i="2"/>
  <c r="J90" i="1"/>
  <c r="F17" i="2"/>
  <c r="K116" i="1"/>
  <c r="F10" i="2"/>
  <c r="J23" i="1"/>
  <c r="K57" i="1"/>
  <c r="L116" i="1"/>
  <c r="L57" i="1"/>
  <c r="M116" i="1"/>
  <c r="K89" i="1"/>
  <c r="F9" i="2"/>
  <c r="M9" i="1"/>
  <c r="J10" i="1"/>
  <c r="L22" i="1"/>
  <c r="G8" i="2"/>
  <c r="H8" i="2" s="1"/>
  <c r="L9" i="1"/>
  <c r="K22" i="1"/>
  <c r="M57" i="1"/>
  <c r="L89" i="1"/>
  <c r="F12" i="2"/>
  <c r="F19" i="2"/>
  <c r="M50" i="1"/>
  <c r="L50" i="1"/>
  <c r="L97" i="1"/>
  <c r="M108" i="1"/>
  <c r="K85" i="1"/>
  <c r="M97" i="1"/>
  <c r="F13" i="2"/>
  <c r="F20" i="2"/>
  <c r="K97" i="1"/>
  <c r="M44" i="1" l="1"/>
  <c r="L44" i="1"/>
  <c r="K44" i="1"/>
  <c r="J91" i="1"/>
  <c r="M90" i="1"/>
  <c r="L90" i="1"/>
  <c r="K90" i="1"/>
  <c r="J100" i="1"/>
  <c r="L99" i="1"/>
  <c r="M99" i="1"/>
  <c r="K99" i="1"/>
  <c r="J111" i="1"/>
  <c r="L110" i="1"/>
  <c r="M110" i="1"/>
  <c r="K110" i="1"/>
  <c r="L59" i="1"/>
  <c r="J60" i="1"/>
  <c r="M59" i="1"/>
  <c r="K59" i="1"/>
  <c r="K10" i="1"/>
  <c r="L10" i="1"/>
  <c r="J11" i="1"/>
  <c r="M10" i="1"/>
  <c r="J53" i="1"/>
  <c r="K52" i="1"/>
  <c r="M52" i="1"/>
  <c r="L52" i="1"/>
  <c r="J24" i="1"/>
  <c r="M23" i="1"/>
  <c r="L23" i="1"/>
  <c r="K23" i="1"/>
  <c r="J119" i="1"/>
  <c r="M118" i="1"/>
  <c r="L118" i="1"/>
  <c r="K118" i="1"/>
  <c r="K24" i="1" l="1"/>
  <c r="J25" i="1"/>
  <c r="M24" i="1"/>
  <c r="L24" i="1"/>
  <c r="M11" i="1"/>
  <c r="J12" i="1"/>
  <c r="L11" i="1"/>
  <c r="K11" i="1"/>
  <c r="K53" i="1"/>
  <c r="L53" i="1"/>
  <c r="J54" i="1"/>
  <c r="M53" i="1"/>
  <c r="K60" i="1"/>
  <c r="M60" i="1"/>
  <c r="L60" i="1"/>
  <c r="J61" i="1"/>
  <c r="M111" i="1"/>
  <c r="L111" i="1"/>
  <c r="K111" i="1"/>
  <c r="K100" i="1"/>
  <c r="J101" i="1"/>
  <c r="M100" i="1"/>
  <c r="L100" i="1"/>
  <c r="L119" i="1"/>
  <c r="K119" i="1"/>
  <c r="J120" i="1"/>
  <c r="M119" i="1"/>
  <c r="K91" i="1"/>
  <c r="J92" i="1"/>
  <c r="M91" i="1"/>
  <c r="L91" i="1"/>
  <c r="M120" i="1" l="1"/>
  <c r="K120" i="1"/>
  <c r="J121" i="1"/>
  <c r="L120" i="1"/>
  <c r="L54" i="1"/>
  <c r="M54" i="1"/>
  <c r="K54" i="1"/>
  <c r="L101" i="1"/>
  <c r="K101" i="1"/>
  <c r="J102" i="1"/>
  <c r="M101" i="1"/>
  <c r="J13" i="1"/>
  <c r="M12" i="1"/>
  <c r="L12" i="1"/>
  <c r="K12" i="1"/>
  <c r="J26" i="1"/>
  <c r="M25" i="1"/>
  <c r="K25" i="1"/>
  <c r="L25" i="1"/>
  <c r="L61" i="1"/>
  <c r="J62" i="1"/>
  <c r="M61" i="1"/>
  <c r="K61" i="1"/>
  <c r="M92" i="1"/>
  <c r="L92" i="1"/>
  <c r="K92" i="1"/>
  <c r="M62" i="1" l="1"/>
  <c r="L62" i="1"/>
  <c r="J64" i="1"/>
  <c r="K62" i="1"/>
  <c r="K26" i="1"/>
  <c r="L26" i="1"/>
  <c r="M26" i="1"/>
  <c r="J27" i="1"/>
  <c r="M13" i="1"/>
  <c r="K13" i="1"/>
  <c r="L13" i="1"/>
  <c r="J14" i="1"/>
  <c r="L121" i="1"/>
  <c r="M121" i="1"/>
  <c r="J122" i="1"/>
  <c r="K121" i="1"/>
  <c r="M102" i="1"/>
  <c r="L102" i="1"/>
  <c r="K102" i="1"/>
  <c r="J15" i="1" l="1"/>
  <c r="L14" i="1"/>
  <c r="M14" i="1"/>
  <c r="K14" i="1"/>
  <c r="K27" i="1"/>
  <c r="J28" i="1"/>
  <c r="M27" i="1"/>
  <c r="L27" i="1"/>
  <c r="K64" i="1"/>
  <c r="M64" i="1"/>
  <c r="L64" i="1"/>
  <c r="J65" i="1"/>
  <c r="M122" i="1"/>
  <c r="J123" i="1"/>
  <c r="L122" i="1"/>
  <c r="K122" i="1"/>
  <c r="J66" i="1" l="1"/>
  <c r="M65" i="1"/>
  <c r="L65" i="1"/>
  <c r="K65" i="1"/>
  <c r="J124" i="1"/>
  <c r="M123" i="1"/>
  <c r="L123" i="1"/>
  <c r="K123" i="1"/>
  <c r="M28" i="1"/>
  <c r="K28" i="1"/>
  <c r="J29" i="1"/>
  <c r="L28" i="1"/>
  <c r="L15" i="1"/>
  <c r="K15" i="1"/>
  <c r="M15" i="1"/>
  <c r="J125" i="1" l="1"/>
  <c r="L124" i="1"/>
  <c r="M124" i="1"/>
  <c r="K124" i="1"/>
  <c r="M29" i="1"/>
  <c r="L29" i="1"/>
  <c r="K29" i="1"/>
  <c r="J30" i="1"/>
  <c r="M66" i="1"/>
  <c r="L66" i="1"/>
  <c r="K66" i="1"/>
  <c r="J67" i="1"/>
  <c r="J31" i="1" l="1"/>
  <c r="M30" i="1"/>
  <c r="L30" i="1"/>
  <c r="K30" i="1"/>
  <c r="J68" i="1"/>
  <c r="M67" i="1"/>
  <c r="L67" i="1"/>
  <c r="K67" i="1"/>
  <c r="M125" i="1"/>
  <c r="J126" i="1"/>
  <c r="L125" i="1"/>
  <c r="K125" i="1"/>
  <c r="L126" i="1" l="1"/>
  <c r="K126" i="1"/>
  <c r="M126" i="1"/>
  <c r="J127" i="1"/>
  <c r="K68" i="1"/>
  <c r="J69" i="1"/>
  <c r="M68" i="1"/>
  <c r="L68" i="1"/>
  <c r="L31" i="1"/>
  <c r="J32" i="1"/>
  <c r="M31" i="1"/>
  <c r="K31" i="1"/>
  <c r="J33" i="1" l="1"/>
  <c r="K32" i="1"/>
  <c r="M32" i="1"/>
  <c r="L32" i="1"/>
  <c r="L69" i="1"/>
  <c r="M69" i="1"/>
  <c r="J70" i="1"/>
  <c r="K69" i="1"/>
  <c r="K127" i="1"/>
  <c r="J128" i="1"/>
  <c r="L127" i="1"/>
  <c r="M127" i="1"/>
  <c r="M128" i="1" l="1"/>
  <c r="K128" i="1"/>
  <c r="L128" i="1"/>
  <c r="J129" i="1"/>
  <c r="L70" i="1"/>
  <c r="M70" i="1"/>
  <c r="K70" i="1"/>
  <c r="J71" i="1"/>
  <c r="L33" i="1"/>
  <c r="M33" i="1"/>
  <c r="J34" i="1"/>
  <c r="K33" i="1"/>
  <c r="L34" i="1" l="1"/>
  <c r="M34" i="1"/>
  <c r="K34" i="1"/>
  <c r="J35" i="1"/>
  <c r="L71" i="1"/>
  <c r="M71" i="1"/>
  <c r="K71" i="1"/>
  <c r="J72" i="1"/>
  <c r="L129" i="1"/>
  <c r="J130" i="1"/>
  <c r="M129" i="1"/>
  <c r="K129" i="1"/>
  <c r="J131" i="1" l="1"/>
  <c r="M130" i="1"/>
  <c r="L130" i="1"/>
  <c r="K130" i="1"/>
  <c r="J73" i="1"/>
  <c r="M72" i="1"/>
  <c r="L72" i="1"/>
  <c r="K72" i="1"/>
  <c r="K35" i="1"/>
  <c r="L35" i="1"/>
  <c r="J36" i="1"/>
  <c r="M35" i="1"/>
  <c r="M36" i="1" l="1"/>
  <c r="K36" i="1"/>
  <c r="L36" i="1"/>
  <c r="J37" i="1"/>
  <c r="K73" i="1"/>
  <c r="M73" i="1"/>
  <c r="J74" i="1"/>
  <c r="L73" i="1"/>
  <c r="J132" i="1"/>
  <c r="L131" i="1"/>
  <c r="M131" i="1"/>
  <c r="K131" i="1"/>
  <c r="L132" i="1" l="1"/>
  <c r="J133" i="1"/>
  <c r="M132" i="1"/>
  <c r="K132" i="1"/>
  <c r="L74" i="1"/>
  <c r="J75" i="1"/>
  <c r="K74" i="1"/>
  <c r="M74" i="1"/>
  <c r="J38" i="1"/>
  <c r="M37" i="1"/>
  <c r="L37" i="1"/>
  <c r="K37" i="1"/>
  <c r="J39" i="1" l="1"/>
  <c r="L38" i="1"/>
  <c r="K38" i="1"/>
  <c r="M38" i="1"/>
  <c r="K75" i="1"/>
  <c r="J76" i="1"/>
  <c r="L75" i="1"/>
  <c r="M75" i="1"/>
  <c r="L133" i="1"/>
  <c r="K133" i="1"/>
  <c r="M133" i="1"/>
  <c r="J134" i="1"/>
  <c r="M134" i="1" l="1"/>
  <c r="L134" i="1"/>
  <c r="J135" i="1"/>
  <c r="K134" i="1"/>
  <c r="L76" i="1"/>
  <c r="M76" i="1"/>
  <c r="K76" i="1"/>
  <c r="J77" i="1"/>
  <c r="J40" i="1"/>
  <c r="L39" i="1"/>
  <c r="M39" i="1"/>
  <c r="K39" i="1"/>
  <c r="L40" i="1" l="1"/>
  <c r="J41" i="1"/>
  <c r="M40" i="1"/>
  <c r="K40" i="1"/>
  <c r="K77" i="1"/>
  <c r="J78" i="1"/>
  <c r="M77" i="1"/>
  <c r="L77" i="1"/>
  <c r="K135" i="1"/>
  <c r="L135" i="1"/>
  <c r="M135" i="1"/>
  <c r="J136" i="1"/>
  <c r="K78" i="1" l="1"/>
  <c r="M78" i="1"/>
  <c r="L78" i="1"/>
  <c r="J79" i="1"/>
  <c r="M41" i="1"/>
  <c r="L41" i="1"/>
  <c r="K41" i="1"/>
  <c r="M136" i="1"/>
  <c r="K136" i="1"/>
  <c r="J137" i="1"/>
  <c r="L136" i="1"/>
  <c r="J138" i="1" l="1"/>
  <c r="M137" i="1"/>
  <c r="L137" i="1"/>
  <c r="K137" i="1"/>
  <c r="J80" i="1"/>
  <c r="M79" i="1"/>
  <c r="L79" i="1"/>
  <c r="K79" i="1"/>
  <c r="K80" i="1" l="1"/>
  <c r="L80" i="1"/>
  <c r="M80" i="1"/>
  <c r="M138" i="1"/>
  <c r="J139" i="1"/>
  <c r="L138" i="1"/>
  <c r="K138" i="1"/>
  <c r="M139" i="1" l="1"/>
  <c r="J140" i="1"/>
  <c r="L139" i="1"/>
  <c r="K139" i="1"/>
  <c r="L140" i="1" l="1"/>
  <c r="J141" i="1"/>
  <c r="M140" i="1"/>
  <c r="K140" i="1"/>
  <c r="J142" i="1" l="1"/>
  <c r="L141" i="1"/>
  <c r="K141" i="1"/>
  <c r="M141" i="1"/>
  <c r="L142" i="1" l="1"/>
  <c r="M142" i="1"/>
  <c r="J143" i="1"/>
  <c r="K142" i="1"/>
  <c r="M143" i="1" l="1"/>
  <c r="J144" i="1"/>
  <c r="L143" i="1"/>
  <c r="K143" i="1"/>
  <c r="J145" i="1" l="1"/>
  <c r="M144" i="1"/>
  <c r="L144" i="1"/>
  <c r="K144" i="1"/>
  <c r="J146" i="1" l="1"/>
  <c r="L145" i="1"/>
  <c r="M145" i="1"/>
  <c r="K145" i="1"/>
  <c r="L146" i="1" l="1"/>
  <c r="J147" i="1"/>
  <c r="M146" i="1"/>
  <c r="K146" i="1"/>
  <c r="L147" i="1" l="1"/>
  <c r="K147" i="1"/>
  <c r="J148" i="1"/>
  <c r="M147" i="1"/>
  <c r="L148" i="1" l="1"/>
  <c r="K148" i="1"/>
  <c r="M148" i="1"/>
  <c r="J149" i="1"/>
  <c r="J150" i="1" l="1"/>
  <c r="K149" i="1"/>
  <c r="L149" i="1"/>
  <c r="M149" i="1"/>
  <c r="M150" i="1" l="1"/>
  <c r="K150" i="1"/>
  <c r="J151" i="1"/>
  <c r="L150" i="1"/>
  <c r="J152" i="1" l="1"/>
  <c r="M151" i="1"/>
  <c r="L151" i="1"/>
  <c r="K151" i="1"/>
  <c r="M152" i="1" l="1"/>
  <c r="J153" i="1"/>
  <c r="L152" i="1"/>
  <c r="K152" i="1"/>
  <c r="M153" i="1" l="1"/>
  <c r="J154" i="1"/>
  <c r="L153" i="1"/>
  <c r="K153" i="1"/>
  <c r="L154" i="1" l="1"/>
  <c r="K154" i="1"/>
  <c r="J155" i="1"/>
  <c r="M154" i="1"/>
  <c r="L155" i="1" l="1"/>
  <c r="K155" i="1"/>
  <c r="M155" i="1"/>
  <c r="J156" i="1"/>
  <c r="J157" i="1" l="1"/>
  <c r="M156" i="1"/>
  <c r="L156" i="1"/>
  <c r="K156" i="1"/>
  <c r="M157" i="1" l="1"/>
  <c r="J158" i="1"/>
  <c r="L157" i="1"/>
  <c r="K157" i="1"/>
  <c r="J159" i="1" l="1"/>
  <c r="M158" i="1"/>
  <c r="L158" i="1"/>
  <c r="K158" i="1"/>
  <c r="J160" i="1" l="1"/>
  <c r="L159" i="1"/>
  <c r="M159" i="1"/>
  <c r="K159" i="1"/>
  <c r="L160" i="1" l="1"/>
  <c r="J161" i="1"/>
  <c r="M160" i="1"/>
  <c r="K160" i="1"/>
  <c r="L161" i="1" l="1"/>
  <c r="K161" i="1"/>
  <c r="M161" i="1"/>
</calcChain>
</file>

<file path=xl/sharedStrings.xml><?xml version="1.0" encoding="utf-8"?>
<sst xmlns="http://schemas.openxmlformats.org/spreadsheetml/2006/main" count="799" uniqueCount="347">
  <si>
    <t>//</t>
  </si>
  <si>
    <t>This is the master copy of the downlink structures.  A program called FoxStruct.py will turn this into a structure for the flight software.</t>
  </si>
  <si>
    <t>A different Python script can also be used to make tables for FoxTelem. My intent is that this spreadsheet can also be included</t>
  </si>
  <si>
    <t>into a formal document defining the downlink more completely.</t>
  </si>
  <si>
    <t>The format must be as follows: 1) A comment (// in column A) can appear anywhere.  2) A structure must start with a column A that has</t>
  </si>
  <si>
    <t>"Structure:name,file:filename".  The structure must end with "END". For flight software, the yellow highlighted columns are used.</t>
  </si>
  <si>
    <t>Version: 1.0</t>
  </si>
  <si>
    <t>Structure: header_t, file:headerDownlink.h</t>
  </si>
  <si>
    <t>Field Name</t>
  </si>
  <si>
    <t>Code Name</t>
  </si>
  <si>
    <t>Size (Bits)</t>
  </si>
  <si>
    <t>Type</t>
  </si>
  <si>
    <t>C Type</t>
  </si>
  <si>
    <t>Conversion</t>
  </si>
  <si>
    <t>Label</t>
  </si>
  <si>
    <t>Description</t>
  </si>
  <si>
    <t>Bit Offset</t>
  </si>
  <si>
    <t>Byte Offset</t>
  </si>
  <si>
    <t>Short Offset</t>
  </si>
  <si>
    <t>Long offset</t>
  </si>
  <si>
    <t>Module</t>
  </si>
  <si>
    <t>Module_num</t>
  </si>
  <si>
    <t>Module_Line</t>
  </si>
  <si>
    <t>Line_Type</t>
  </si>
  <si>
    <t>uptime</t>
  </si>
  <si>
    <t>Unsigned</t>
  </si>
  <si>
    <t>Sec</t>
  </si>
  <si>
    <t>This is the IHU uptime in seconds since the last reset</t>
  </si>
  <si>
    <t>NONE</t>
  </si>
  <si>
    <t>resetCnt</t>
  </si>
  <si>
    <t>Resets</t>
  </si>
  <si>
    <t>Total number of times IHU has reset since initial on-orbit startup</t>
  </si>
  <si>
    <t>Downlink Spec Version</t>
  </si>
  <si>
    <t>protocolVersion</t>
  </si>
  <si>
    <t>-</t>
  </si>
  <si>
    <t>LS4Bits = minor &amp; MS3bits=major</t>
  </si>
  <si>
    <t>Software Major Version</t>
  </si>
  <si>
    <t>versionMajor</t>
  </si>
  <si>
    <t>None</t>
  </si>
  <si>
    <t>Sofwtare Minor Version</t>
  </si>
  <si>
    <t>versionMinor</t>
  </si>
  <si>
    <t>Spacecraft Mode</t>
  </si>
  <si>
    <t>spacecraftMode</t>
  </si>
  <si>
    <t>The spacecraft mode e.g. SAFE MODE</t>
  </si>
  <si>
    <t>Telem &amp; Control</t>
  </si>
  <si>
    <t>END</t>
  </si>
  <si>
    <t>Total length</t>
  </si>
  <si>
    <t>Structure: commonRtMinmaxWodPayload_t,file:commonDownlink.h</t>
  </si>
  <si>
    <t>Available</t>
  </si>
  <si>
    <t>FSAvailable</t>
  </si>
  <si>
    <t>KB</t>
  </si>
  <si>
    <t>Space left in the file system</t>
  </si>
  <si>
    <t>File Storage</t>
  </si>
  <si>
    <t>Total Files</t>
  </si>
  <si>
    <t>FSTotalFiles</t>
  </si>
  <si>
    <t>Total files in the file system</t>
  </si>
  <si>
    <t>Bytes Queued</t>
  </si>
  <si>
    <t>UploadQueueBytes</t>
  </si>
  <si>
    <t>Bytes reserved by the upload queue</t>
  </si>
  <si>
    <t>Files Queued</t>
  </si>
  <si>
    <t>UploadQueueFiles</t>
  </si>
  <si>
    <t>Files in the tmp folder queued to upload</t>
  </si>
  <si>
    <t>RF Power</t>
  </si>
  <si>
    <t>TXPower</t>
  </si>
  <si>
    <t>uint8_t</t>
  </si>
  <si>
    <t>mW</t>
  </si>
  <si>
    <t>TX RF Power</t>
  </si>
  <si>
    <t>Transmitter</t>
  </si>
  <si>
    <t>TXPwrMode</t>
  </si>
  <si>
    <t>TX Power Mode</t>
  </si>
  <si>
    <t>Modulation</t>
  </si>
  <si>
    <t>TxModMode</t>
  </si>
  <si>
    <t>The modulation mode of the TX</t>
  </si>
  <si>
    <t>RX0PwrMode</t>
  </si>
  <si>
    <t>RX0 Power Mode</t>
  </si>
  <si>
    <t>Receiver 1</t>
  </si>
  <si>
    <t>RX1PwrMode</t>
  </si>
  <si>
    <t>RX1Power Mode</t>
  </si>
  <si>
    <t>Receiver 2</t>
  </si>
  <si>
    <t>RX2PwrMode</t>
  </si>
  <si>
    <t>RX2 Power Mode</t>
  </si>
  <si>
    <t>Receiver 3</t>
  </si>
  <si>
    <t>RX3PwrMode</t>
  </si>
  <si>
    <t>RX3 Power Mode</t>
  </si>
  <si>
    <t>Receiver 4</t>
  </si>
  <si>
    <t>RX0ModMode</t>
  </si>
  <si>
    <t>RX0 Modulation</t>
  </si>
  <si>
    <t>RX1ModMode</t>
  </si>
  <si>
    <t>RX1 Modulation</t>
  </si>
  <si>
    <t>RX2ModMode</t>
  </si>
  <si>
    <t>RX2 Modulation</t>
  </si>
  <si>
    <t>RX3ModMode</t>
  </si>
  <si>
    <t>RX3 Modulation</t>
  </si>
  <si>
    <t>RX0RSSI</t>
  </si>
  <si>
    <t>dBm</t>
  </si>
  <si>
    <t>RSSI for Receiver 0</t>
  </si>
  <si>
    <t>RX1RSSI</t>
  </si>
  <si>
    <t>RSSI for Receiver 1</t>
  </si>
  <si>
    <t>RX2RSSI</t>
  </si>
  <si>
    <t>RSSI for receiver 2</t>
  </si>
  <si>
    <t>RX3RSSI</t>
  </si>
  <si>
    <t>RSSI for receiver 3</t>
  </si>
  <si>
    <t>CPU Temp</t>
  </si>
  <si>
    <t>IHUTemp</t>
  </si>
  <si>
    <t>C</t>
  </si>
  <si>
    <t>Computer temperature</t>
  </si>
  <si>
    <t>Computer</t>
  </si>
  <si>
    <t>PA Temp</t>
  </si>
  <si>
    <t>PATemp</t>
  </si>
  <si>
    <t>Power Amplifier Temperature</t>
  </si>
  <si>
    <t>Power Temp</t>
  </si>
  <si>
    <t>PowerTemp</t>
  </si>
  <si>
    <t>Power Supply Temperature</t>
  </si>
  <si>
    <t>Filler</t>
  </si>
  <si>
    <t>pad0</t>
  </si>
  <si>
    <t>Make same length as WOD</t>
  </si>
  <si>
    <t>Totals:</t>
  </si>
  <si>
    <t>commonPayload2 is common to realtime,  hi/low, and WOD,  but it is not compared for hi/low.  It is fetched fresh.</t>
  </si>
  <si>
    <t>Structure: commonRtWodPayload_t,file:common2Downlink.h</t>
  </si>
  <si>
    <t>ifdef LEGACY_IHU</t>
  </si>
  <si>
    <t>Auto Safe Allowed</t>
  </si>
  <si>
    <t>AutoSafeAllowed</t>
  </si>
  <si>
    <t>Autosafe Allowed</t>
  </si>
  <si>
    <t>Auto Safe</t>
  </si>
  <si>
    <t>AutoSafeModeActive</t>
  </si>
  <si>
    <t>Autosafe Mode Active</t>
  </si>
  <si>
    <t>PB Enabled</t>
  </si>
  <si>
    <t>pbEnabled</t>
  </si>
  <si>
    <t>Pacsat Broadcast is available for use</t>
  </si>
  <si>
    <t>Uplink Enabled</t>
  </si>
  <si>
    <t>uplinkEnabled</t>
  </si>
  <si>
    <t>Pacsat file upload is available for use</t>
  </si>
  <si>
    <t>Digi Enabled</t>
  </si>
  <si>
    <t>DigiEnabled</t>
  </si>
  <si>
    <t>Packet Digipeater is enabled</t>
  </si>
  <si>
    <t>Pad155</t>
  </si>
  <si>
    <t>pad202</t>
  </si>
  <si>
    <t>Pad</t>
  </si>
  <si>
    <t>endif</t>
  </si>
  <si>
    <t>ifdef RTIHU</t>
  </si>
  <si>
    <t>Log Level</t>
  </si>
  <si>
    <t>LogLevel</t>
  </si>
  <si>
    <t>The current logging level</t>
  </si>
  <si>
    <t>Time Period</t>
  </si>
  <si>
    <t>TimePeriod</t>
  </si>
  <si>
    <t>min</t>
  </si>
  <si>
    <t>The period between time packets</t>
  </si>
  <si>
    <t>Telem Period</t>
  </si>
  <si>
    <t>TelemPeriod</t>
  </si>
  <si>
    <t>The period between telemetry packets</t>
  </si>
  <si>
    <t>WOD Period</t>
  </si>
  <si>
    <t>WodPeriod</t>
  </si>
  <si>
    <t>The time between WOD saves</t>
  </si>
  <si>
    <t>Max WOD Size</t>
  </si>
  <si>
    <t>MaxWodFileSize</t>
  </si>
  <si>
    <t>The maximum size of a WOD file before it is added to the directory</t>
  </si>
  <si>
    <t>Max EXP Size</t>
  </si>
  <si>
    <t>MaxExpFileSize</t>
  </si>
  <si>
    <t>The maximum size of a experiment file before it is added to the directory</t>
  </si>
  <si>
    <t>PB Status Period</t>
  </si>
  <si>
    <t>PbStatusPeriod</t>
  </si>
  <si>
    <t>The period between Pacsat Broadcast Status packets</t>
  </si>
  <si>
    <t>PB Timeout</t>
  </si>
  <si>
    <t>PbTimeout</t>
  </si>
  <si>
    <t>The maximum time a client can be on the PB</t>
  </si>
  <si>
    <t>Uplink Status Period</t>
  </si>
  <si>
    <t>UplinkStatusPeriod</t>
  </si>
  <si>
    <t>The period between uplink status packets</t>
  </si>
  <si>
    <t>SW Cmd Cnt</t>
  </si>
  <si>
    <t>swCmdCnt</t>
  </si>
  <si>
    <t>Number of software commands since last reset</t>
  </si>
  <si>
    <t>Min/Max Resets</t>
  </si>
  <si>
    <t>TLMresets</t>
  </si>
  <si>
    <t>Number of times command stations reset stored telemetry</t>
  </si>
  <si>
    <t>Cmd Ring</t>
  </si>
  <si>
    <t>swCmds</t>
  </si>
  <si>
    <t>Command Ring showing last 4 commands</t>
  </si>
  <si>
    <t>MRAM0 Status</t>
  </si>
  <si>
    <t>MRAMstatus0</t>
  </si>
  <si>
    <t>Status of MRAM0</t>
  </si>
  <si>
    <t>MRAM1 Status</t>
  </si>
  <si>
    <t>MRAMstatus1</t>
  </si>
  <si>
    <t>Status of MRAM1</t>
  </si>
  <si>
    <t>MRAM2 Status</t>
  </si>
  <si>
    <t>MRAMstatus2</t>
  </si>
  <si>
    <t>Status of MRAM2</t>
  </si>
  <si>
    <t>MRAM3 Status</t>
  </si>
  <si>
    <t>MRAMstatus3</t>
  </si>
  <si>
    <t>Status of MRAM3</t>
  </si>
  <si>
    <t>Total Length</t>
  </si>
  <si>
    <t>Structure: realtimeSpecific_t, file:realtimeDownlink.h</t>
  </si>
  <si>
    <t>pad2</t>
  </si>
  <si>
    <t>Structure: maxSpecific_t, file: maxDownlink.h</t>
  </si>
  <si>
    <t>Max Last Chg Secs</t>
  </si>
  <si>
    <t>maxTimestampUptime</t>
  </si>
  <si>
    <t>unsigned</t>
  </si>
  <si>
    <t>s</t>
  </si>
  <si>
    <t>Timestamp Resets</t>
  </si>
  <si>
    <t>Max Last Change</t>
  </si>
  <si>
    <t>maxTimestampEpoch</t>
  </si>
  <si>
    <t>Timestamp uptime</t>
  </si>
  <si>
    <t>Max CRC Errors</t>
  </si>
  <si>
    <t>maxCRCerror</t>
  </si>
  <si>
    <t>CRC Error for the Max Payload</t>
  </si>
  <si>
    <t>pad3</t>
  </si>
  <si>
    <t>Structure: minSpecific_t, file: minDownlink.h</t>
  </si>
  <si>
    <t>Min Last Chg Secs</t>
  </si>
  <si>
    <t>minTimestampUptime</t>
  </si>
  <si>
    <t>Min Last Change</t>
  </si>
  <si>
    <t>minTimestampEpoch</t>
  </si>
  <si>
    <t>Last Reset Time</t>
  </si>
  <si>
    <t>minmaxResetEpoch</t>
  </si>
  <si>
    <t>MinMax Reset Epoch</t>
  </si>
  <si>
    <t>Min Max Reset Seconds</t>
  </si>
  <si>
    <t>minmaxResetSecs</t>
  </si>
  <si>
    <t>MinMax Reset Secs</t>
  </si>
  <si>
    <t>Min CRC Errors</t>
  </si>
  <si>
    <t>minCRCerror</t>
  </si>
  <si>
    <t>CRC Error for the min payload</t>
  </si>
  <si>
    <t>pad4</t>
  </si>
  <si>
    <t>Structure:wodSpecific_t,file:wodSpecificDownlink.h</t>
  </si>
  <si>
    <t>Uptime</t>
  </si>
  <si>
    <t>WODTimestampUptime</t>
  </si>
  <si>
    <t>Time Whole Orbit Data was collected</t>
  </si>
  <si>
    <t>Data Capture Time</t>
  </si>
  <si>
    <t>WODTimestampReset</t>
  </si>
  <si>
    <t>CRC Error</t>
  </si>
  <si>
    <t>WodCRCError</t>
  </si>
  <si>
    <t>CRC Error for the WOD Payload</t>
  </si>
  <si>
    <t>pad5</t>
  </si>
  <si>
    <t>Structure:rt1Errors_t,file:rt1ErrorsDownlink.h</t>
  </si>
  <si>
    <t>Watchdog Tasks</t>
  </si>
  <si>
    <t>wdReports</t>
  </si>
  <si>
    <t>x</t>
  </si>
  <si>
    <t>Cause of reset</t>
  </si>
  <si>
    <t>errorCode</t>
  </si>
  <si>
    <t>Task at reset</t>
  </si>
  <si>
    <t>taskNumber</t>
  </si>
  <si>
    <t>Task executing at reset</t>
  </si>
  <si>
    <t>Previous task</t>
  </si>
  <si>
    <t>previousTask</t>
  </si>
  <si>
    <t>Previous task before reset</t>
  </si>
  <si>
    <t>Resets in a row</t>
  </si>
  <si>
    <t>earlyResetCount</t>
  </si>
  <si>
    <t>Resets in a row that have been too soon</t>
  </si>
  <si>
    <t>Early reset</t>
  </si>
  <si>
    <t>wasStillEarlyInBoot</t>
  </si>
  <si>
    <t>Was this reset still early in boot</t>
  </si>
  <si>
    <t>Data Valid</t>
  </si>
  <si>
    <t>valid</t>
  </si>
  <si>
    <t>pad to 32 bits</t>
  </si>
  <si>
    <t>pad6</t>
  </si>
  <si>
    <t>Error Data</t>
  </si>
  <si>
    <t>errorData</t>
  </si>
  <si>
    <t>Primary SRAM Corrected Addr 1</t>
  </si>
  <si>
    <t>RAMCorAddr1</t>
  </si>
  <si>
    <t>Memory</t>
  </si>
  <si>
    <t>Primary SRAM Corrected Addr 2</t>
  </si>
  <si>
    <t>RAMCorAddr2</t>
  </si>
  <si>
    <t>Primary Flash Corrected Addr 1</t>
  </si>
  <si>
    <t>ROMCorAddr1</t>
  </si>
  <si>
    <t>Primary Flash Corrected Addr 2</t>
  </si>
  <si>
    <t>ROMCorAddr2</t>
  </si>
  <si>
    <t>Cmd CRC Fails</t>
  </si>
  <si>
    <t>DCTCmdFailCRCCnt</t>
  </si>
  <si>
    <t>Count of commands failing CRC check</t>
  </si>
  <si>
    <t>Commanding</t>
  </si>
  <si>
    <t>Cmd Time Fails</t>
  </si>
  <si>
    <t>DCTCmdFailTimeCnt</t>
  </si>
  <si>
    <t>Count of commands failing the time check</t>
  </si>
  <si>
    <t>Cmd Auth Fails</t>
  </si>
  <si>
    <t>DCTCmdFailAuthenticateCnt</t>
  </si>
  <si>
    <t>Count of commands failing authentication</t>
  </si>
  <si>
    <t>Cmd Fail count</t>
  </si>
  <si>
    <t>DCTCmdFailCommandCnt</t>
  </si>
  <si>
    <t xml:space="preserve">Count of commands failing </t>
  </si>
  <si>
    <t>Cmds wrong NS</t>
  </si>
  <si>
    <t>DCTCmdFailNamespaceCnt</t>
  </si>
  <si>
    <t>Count of commands with wrong namespace</t>
  </si>
  <si>
    <t>I2C1 errors</t>
  </si>
  <si>
    <t>I2C1ErrorCnt</t>
  </si>
  <si>
    <t>Buses</t>
  </si>
  <si>
    <t>I2C2 errors</t>
  </si>
  <si>
    <t>I2C2ErrorCnt</t>
  </si>
  <si>
    <t>I2C1 resets</t>
  </si>
  <si>
    <t>I2C1ResetCnt</t>
  </si>
  <si>
    <t>I2C2 resets</t>
  </si>
  <si>
    <t>I2C2ResetCnt</t>
  </si>
  <si>
    <t>I2C1 retires</t>
  </si>
  <si>
    <t>I2C1RetryCnt</t>
  </si>
  <si>
    <t>I2C2 retries</t>
  </si>
  <si>
    <t>I2C2RetryCnt</t>
  </si>
  <si>
    <t>SPI retrries</t>
  </si>
  <si>
    <t>SPIRetryCnt</t>
  </si>
  <si>
    <t>MRAM fails</t>
  </si>
  <si>
    <t>MramCRCCnt</t>
  </si>
  <si>
    <t>MRAM Read errs</t>
  </si>
  <si>
    <t>MramRdErrorCnt</t>
  </si>
  <si>
    <t>MRAM Write errs</t>
  </si>
  <si>
    <t>MramWtErrorCnt</t>
  </si>
  <si>
    <t>RT1FlashCorrectable Count</t>
  </si>
  <si>
    <t>FlashCorCnt</t>
  </si>
  <si>
    <t>RT1 Ram Even Bank Correctable Count</t>
  </si>
  <si>
    <t>RamEvenCorCnt</t>
  </si>
  <si>
    <t>RT1 Ram Odd Bank Correctable Count</t>
  </si>
  <si>
    <t>RamOddCorCnt</t>
  </si>
  <si>
    <t>RT1PLLSlip</t>
  </si>
  <si>
    <t>PLLSlipCnt</t>
  </si>
  <si>
    <t>RT1ClockMonitorFail</t>
  </si>
  <si>
    <t>ClockMonitorFailCnt</t>
  </si>
  <si>
    <t>RT1VIMRamParity</t>
  </si>
  <si>
    <t>VIMRamParityCnt</t>
  </si>
  <si>
    <t>RT1CAN1RamParity</t>
  </si>
  <si>
    <t>CAN1RamParityCnt</t>
  </si>
  <si>
    <t>RT1CAN2RamParity</t>
  </si>
  <si>
    <t>CAN2RamParityCnt</t>
  </si>
  <si>
    <t>RT1DCC1Error</t>
  </si>
  <si>
    <t>DCC1ErrorCnt</t>
  </si>
  <si>
    <t>RT1DCC2Error</t>
  </si>
  <si>
    <t>DCC2ErrorCnt</t>
  </si>
  <si>
    <t>RT1N2HET2RamParity</t>
  </si>
  <si>
    <t>N2HET2RamParityCnt</t>
  </si>
  <si>
    <t>RT1IOMMAccvio</t>
  </si>
  <si>
    <t>IOMMAccvioCnt</t>
  </si>
  <si>
    <t>Non-fatal error count</t>
  </si>
  <si>
    <t>nonFatalCnt</t>
  </si>
  <si>
    <t>RTIHU1 Version Number</t>
  </si>
  <si>
    <t>SWVersion</t>
  </si>
  <si>
    <t>Dropped Pkts</t>
  </si>
  <si>
    <t>TxDroppedPkts</t>
  </si>
  <si>
    <t>RTOS Failures</t>
  </si>
  <si>
    <t>RTOSfailure</t>
  </si>
  <si>
    <t>RTOS Errs</t>
  </si>
  <si>
    <t>REDFS Errors</t>
  </si>
  <si>
    <t>REDFSIOerror</t>
  </si>
  <si>
    <t>RED File System Errors</t>
  </si>
  <si>
    <t>Fill to 32-bits</t>
  </si>
  <si>
    <t>pad7</t>
  </si>
  <si>
    <t>Unisgned</t>
  </si>
  <si>
    <t>Payloads per Frame</t>
  </si>
  <si>
    <t>Data Bytes per Frame</t>
  </si>
  <si>
    <t>Codewords</t>
  </si>
  <si>
    <t>Total Bytes per Frame</t>
  </si>
  <si>
    <t>Bits</t>
  </si>
  <si>
    <t>Time to Downlink</t>
  </si>
  <si>
    <t>Pwr Mode</t>
  </si>
  <si>
    <t>RSSI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</si>
</sst>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6" fillId="0" borderId="0" xfId="0" applyFont="1"/>
    <xf numFmtId="0" fontId="5" fillId="0" borderId="2" xfId="0" applyFont="1" applyBorder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rt1ErrorsDow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62"/>
  <sheetViews>
    <sheetView tabSelected="1" topLeftCell="A102" zoomScale="75" zoomScaleNormal="75" workbookViewId="0">
      <selection activeCell="P102" sqref="P102"/>
    </sheetView>
  </sheetViews>
  <sheetFormatPr defaultColWidth="8.7109375" defaultRowHeight="15" x14ac:dyDescent="0.2"/>
  <cols>
    <col min="1" max="1" width="16.28515625" style="1" customWidth="1"/>
    <col min="2" max="2" width="53" style="2" customWidth="1"/>
    <col min="3" max="3" width="31.28515625" style="3" customWidth="1"/>
    <col min="4" max="4" width="8.7109375" style="1"/>
    <col min="5" max="5" width="22" style="1" customWidth="1"/>
    <col min="6" max="6" width="10.42578125" style="1" customWidth="1"/>
    <col min="7" max="7" width="24" style="1" customWidth="1"/>
    <col min="8" max="8" width="8.7109375" style="3"/>
    <col min="9" max="9" width="50" style="1" customWidth="1"/>
    <col min="10" max="13" width="8.85546875" style="1" customWidth="1"/>
    <col min="14" max="14" width="18.7109375" style="1" customWidth="1"/>
    <col min="15" max="15" width="9" style="3" customWidth="1"/>
    <col min="16" max="16" width="13.28515625" style="1" customWidth="1"/>
    <col min="17" max="1024" width="8.7109375" style="1"/>
  </cols>
  <sheetData>
    <row r="1" spans="1:17" ht="32.85" customHeight="1" x14ac:dyDescent="0.2">
      <c r="A1" s="1" t="s">
        <v>0</v>
      </c>
      <c r="B1" s="35" t="s">
        <v>1</v>
      </c>
      <c r="C1" s="35"/>
      <c r="D1" s="35"/>
      <c r="E1" s="35"/>
      <c r="F1" s="35"/>
      <c r="G1" s="35"/>
      <c r="H1" s="35"/>
      <c r="I1" s="35"/>
    </row>
    <row r="2" spans="1:17" ht="14.85" customHeight="1" x14ac:dyDescent="0.2">
      <c r="A2" s="1" t="s">
        <v>0</v>
      </c>
      <c r="B2" s="36" t="s">
        <v>2</v>
      </c>
      <c r="C2" s="36"/>
      <c r="D2" s="36"/>
      <c r="E2" s="36"/>
      <c r="F2" s="36"/>
      <c r="G2" s="36"/>
      <c r="H2" s="36"/>
      <c r="I2" s="36"/>
    </row>
    <row r="3" spans="1:17" ht="12.75" customHeight="1" x14ac:dyDescent="0.2">
      <c r="A3" s="1" t="s">
        <v>0</v>
      </c>
      <c r="B3" s="36" t="s">
        <v>3</v>
      </c>
      <c r="C3" s="36"/>
      <c r="D3" s="36"/>
      <c r="E3" s="36"/>
      <c r="F3" s="36"/>
      <c r="G3" s="36"/>
      <c r="H3" s="36"/>
      <c r="I3" s="36"/>
    </row>
    <row r="4" spans="1:17" ht="12.75" customHeight="1" x14ac:dyDescent="0.2">
      <c r="A4" s="1" t="s">
        <v>0</v>
      </c>
      <c r="B4" s="34" t="s">
        <v>4</v>
      </c>
      <c r="C4" s="34"/>
      <c r="D4" s="34"/>
      <c r="E4" s="34"/>
      <c r="F4" s="34"/>
      <c r="G4" s="34"/>
      <c r="H4" s="34"/>
      <c r="I4" s="34"/>
    </row>
    <row r="5" spans="1:17" ht="12.75" customHeight="1" x14ac:dyDescent="0.2">
      <c r="A5" s="1" t="s">
        <v>0</v>
      </c>
      <c r="B5" s="34" t="s">
        <v>5</v>
      </c>
      <c r="C5" s="34"/>
      <c r="D5" s="34"/>
      <c r="E5" s="34"/>
      <c r="F5" s="34"/>
      <c r="G5" s="34"/>
      <c r="H5" s="34"/>
      <c r="I5" s="34"/>
    </row>
    <row r="6" spans="1:17" x14ac:dyDescent="0.2">
      <c r="A6" s="1" t="s">
        <v>6</v>
      </c>
      <c r="B6" s="4"/>
      <c r="C6" s="5">
        <v>44173</v>
      </c>
    </row>
    <row r="7" spans="1:17" ht="15.75" x14ac:dyDescent="0.25">
      <c r="A7" s="6" t="s">
        <v>7</v>
      </c>
      <c r="B7" s="7"/>
      <c r="C7" s="8"/>
      <c r="D7" s="8"/>
      <c r="E7" s="8"/>
      <c r="F7" s="8"/>
      <c r="G7" s="8"/>
      <c r="H7" s="9"/>
    </row>
    <row r="8" spans="1:17" s="10" customFormat="1" ht="15.75" x14ac:dyDescent="0.25">
      <c r="A8" s="10" t="s">
        <v>0</v>
      </c>
      <c r="B8" s="11" t="s">
        <v>8</v>
      </c>
      <c r="C8" s="12" t="s">
        <v>9</v>
      </c>
      <c r="D8" s="12" t="s">
        <v>10</v>
      </c>
      <c r="E8" s="8" t="s">
        <v>11</v>
      </c>
      <c r="F8" s="12" t="s">
        <v>12</v>
      </c>
      <c r="G8" s="8" t="s">
        <v>13</v>
      </c>
      <c r="H8" s="8" t="s">
        <v>14</v>
      </c>
      <c r="I8" s="9" t="s">
        <v>15</v>
      </c>
      <c r="J8" s="13" t="s">
        <v>16</v>
      </c>
      <c r="K8" s="13" t="s">
        <v>17</v>
      </c>
      <c r="L8" s="13" t="s">
        <v>18</v>
      </c>
      <c r="M8" s="13" t="s">
        <v>19</v>
      </c>
      <c r="N8" s="10" t="s">
        <v>20</v>
      </c>
      <c r="O8" s="14" t="s">
        <v>21</v>
      </c>
      <c r="P8" s="10" t="s">
        <v>22</v>
      </c>
      <c r="Q8" s="10" t="s">
        <v>23</v>
      </c>
    </row>
    <row r="9" spans="1:17" ht="30" x14ac:dyDescent="0.2">
      <c r="B9" s="15" t="s">
        <v>24</v>
      </c>
      <c r="C9" s="15" t="s">
        <v>24</v>
      </c>
      <c r="D9" s="15">
        <v>32</v>
      </c>
      <c r="E9" s="15" t="s">
        <v>25</v>
      </c>
      <c r="F9" s="15"/>
      <c r="G9" s="15">
        <v>0</v>
      </c>
      <c r="H9" s="15" t="s">
        <v>26</v>
      </c>
      <c r="I9" s="16" t="s">
        <v>27</v>
      </c>
      <c r="J9" s="1">
        <f>J7+D7</f>
        <v>0</v>
      </c>
      <c r="K9" s="1">
        <f t="shared" ref="K9:K15" si="0">J9/8</f>
        <v>0</v>
      </c>
      <c r="L9" s="1">
        <f t="shared" ref="L9:L15" si="1">J9/16</f>
        <v>0</v>
      </c>
      <c r="M9" s="1">
        <f t="shared" ref="M9:M15" si="2">J9/32</f>
        <v>0</v>
      </c>
      <c r="N9" s="1" t="s">
        <v>28</v>
      </c>
      <c r="O9" s="3">
        <v>0</v>
      </c>
      <c r="P9" s="1">
        <v>0</v>
      </c>
      <c r="Q9" s="1">
        <v>0</v>
      </c>
    </row>
    <row r="10" spans="1:17" ht="30" x14ac:dyDescent="0.2">
      <c r="B10" s="15" t="s">
        <v>29</v>
      </c>
      <c r="C10" s="15" t="s">
        <v>29</v>
      </c>
      <c r="D10" s="15">
        <v>16</v>
      </c>
      <c r="E10" s="15" t="s">
        <v>25</v>
      </c>
      <c r="F10" s="15"/>
      <c r="G10" s="15">
        <v>0</v>
      </c>
      <c r="H10" s="15" t="s">
        <v>30</v>
      </c>
      <c r="I10" s="16" t="s">
        <v>31</v>
      </c>
      <c r="J10" s="1">
        <f t="shared" ref="J10:J15" si="3">J9+D9</f>
        <v>32</v>
      </c>
      <c r="K10" s="1">
        <f t="shared" si="0"/>
        <v>4</v>
      </c>
      <c r="L10" s="1">
        <f t="shared" si="1"/>
        <v>2</v>
      </c>
      <c r="M10" s="1">
        <f t="shared" si="2"/>
        <v>1</v>
      </c>
      <c r="N10" s="1" t="s">
        <v>28</v>
      </c>
      <c r="O10" s="3">
        <v>0</v>
      </c>
      <c r="P10" s="1">
        <v>0</v>
      </c>
      <c r="Q10" s="1">
        <v>0</v>
      </c>
    </row>
    <row r="11" spans="1:17" ht="37.700000000000003" customHeight="1" x14ac:dyDescent="0.2">
      <c r="B11" s="15" t="s">
        <v>32</v>
      </c>
      <c r="C11" s="15" t="s">
        <v>33</v>
      </c>
      <c r="D11" s="15">
        <v>8</v>
      </c>
      <c r="E11" s="15" t="s">
        <v>25</v>
      </c>
      <c r="F11" s="15"/>
      <c r="G11" s="15">
        <v>0</v>
      </c>
      <c r="H11" s="15" t="s">
        <v>34</v>
      </c>
      <c r="I11" s="16" t="s">
        <v>35</v>
      </c>
      <c r="J11" s="1">
        <f t="shared" si="3"/>
        <v>48</v>
      </c>
      <c r="K11" s="1">
        <f t="shared" si="0"/>
        <v>6</v>
      </c>
      <c r="L11" s="1">
        <f t="shared" si="1"/>
        <v>3</v>
      </c>
      <c r="M11" s="1">
        <f t="shared" si="2"/>
        <v>1.5</v>
      </c>
      <c r="N11" s="1" t="s">
        <v>28</v>
      </c>
      <c r="O11" s="3">
        <v>0</v>
      </c>
      <c r="P11" s="1">
        <v>0</v>
      </c>
      <c r="Q11" s="1">
        <v>0</v>
      </c>
    </row>
    <row r="12" spans="1:17" ht="37.700000000000003" customHeight="1" x14ac:dyDescent="0.2">
      <c r="B12" s="15" t="s">
        <v>36</v>
      </c>
      <c r="C12" s="15" t="s">
        <v>37</v>
      </c>
      <c r="D12" s="15">
        <v>8</v>
      </c>
      <c r="E12" s="15" t="s">
        <v>25</v>
      </c>
      <c r="F12" s="15"/>
      <c r="G12" s="15">
        <v>0</v>
      </c>
      <c r="H12" s="15" t="s">
        <v>34</v>
      </c>
      <c r="I12" s="16" t="s">
        <v>38</v>
      </c>
      <c r="J12" s="1">
        <f t="shared" si="3"/>
        <v>56</v>
      </c>
      <c r="K12" s="1">
        <f t="shared" si="0"/>
        <v>7</v>
      </c>
      <c r="L12" s="1">
        <f t="shared" si="1"/>
        <v>3.5</v>
      </c>
      <c r="M12" s="1">
        <f t="shared" si="2"/>
        <v>1.75</v>
      </c>
      <c r="N12" s="1" t="s">
        <v>28</v>
      </c>
      <c r="O12" s="3">
        <v>0</v>
      </c>
      <c r="P12" s="1">
        <v>0</v>
      </c>
      <c r="Q12" s="1">
        <v>0</v>
      </c>
    </row>
    <row r="13" spans="1:17" ht="37.700000000000003" customHeight="1" x14ac:dyDescent="0.2">
      <c r="B13" s="15" t="s">
        <v>39</v>
      </c>
      <c r="C13" s="15" t="s">
        <v>40</v>
      </c>
      <c r="D13" s="15">
        <v>8</v>
      </c>
      <c r="E13" s="15" t="s">
        <v>25</v>
      </c>
      <c r="F13" s="15"/>
      <c r="G13" s="15">
        <v>0</v>
      </c>
      <c r="H13" s="15" t="s">
        <v>34</v>
      </c>
      <c r="I13" s="16" t="s">
        <v>38</v>
      </c>
      <c r="J13" s="1">
        <f t="shared" si="3"/>
        <v>64</v>
      </c>
      <c r="K13" s="1">
        <f t="shared" si="0"/>
        <v>8</v>
      </c>
      <c r="L13" s="1">
        <f t="shared" si="1"/>
        <v>4</v>
      </c>
      <c r="M13" s="1">
        <f t="shared" si="2"/>
        <v>2</v>
      </c>
      <c r="N13" s="1" t="s">
        <v>28</v>
      </c>
      <c r="O13" s="3">
        <v>0</v>
      </c>
      <c r="P13" s="1">
        <v>0</v>
      </c>
      <c r="Q13" s="1">
        <v>0</v>
      </c>
    </row>
    <row r="14" spans="1:17" ht="37.700000000000003" customHeight="1" x14ac:dyDescent="0.2">
      <c r="B14" s="15" t="s">
        <v>41</v>
      </c>
      <c r="C14" s="15" t="s">
        <v>42</v>
      </c>
      <c r="D14" s="15">
        <v>8</v>
      </c>
      <c r="E14" s="15" t="s">
        <v>25</v>
      </c>
      <c r="F14" s="15"/>
      <c r="G14" s="15">
        <v>10</v>
      </c>
      <c r="H14" s="15"/>
      <c r="I14" s="16" t="s">
        <v>43</v>
      </c>
      <c r="J14" s="1">
        <f t="shared" si="3"/>
        <v>72</v>
      </c>
      <c r="K14" s="1">
        <f t="shared" si="0"/>
        <v>9</v>
      </c>
      <c r="L14" s="1">
        <f t="shared" si="1"/>
        <v>4.5</v>
      </c>
      <c r="M14" s="1">
        <f t="shared" si="2"/>
        <v>2.25</v>
      </c>
      <c r="N14" s="1" t="s">
        <v>44</v>
      </c>
      <c r="O14" s="3">
        <v>1</v>
      </c>
      <c r="P14" s="1">
        <v>1</v>
      </c>
      <c r="Q14" s="1">
        <v>0</v>
      </c>
    </row>
    <row r="15" spans="1:17" x14ac:dyDescent="0.2">
      <c r="A15" s="17" t="s">
        <v>45</v>
      </c>
      <c r="C15" s="2"/>
      <c r="F15" s="17"/>
      <c r="G15" s="17"/>
      <c r="H15" s="2"/>
      <c r="I15" s="17" t="s">
        <v>46</v>
      </c>
      <c r="J15" s="1">
        <f t="shared" si="3"/>
        <v>80</v>
      </c>
      <c r="K15" s="1">
        <f t="shared" si="0"/>
        <v>10</v>
      </c>
      <c r="L15" s="1">
        <f t="shared" si="1"/>
        <v>5</v>
      </c>
      <c r="M15" s="1">
        <f t="shared" si="2"/>
        <v>2.5</v>
      </c>
    </row>
    <row r="16" spans="1:17" x14ac:dyDescent="0.2">
      <c r="B16" s="17"/>
    </row>
    <row r="17" spans="1:17" x14ac:dyDescent="0.2">
      <c r="B17" s="17"/>
    </row>
    <row r="18" spans="1:17" x14ac:dyDescent="0.2">
      <c r="A18" s="1" t="s">
        <v>0</v>
      </c>
      <c r="B18" s="17"/>
    </row>
    <row r="19" spans="1:17" x14ac:dyDescent="0.2">
      <c r="A19" s="1" t="s">
        <v>47</v>
      </c>
      <c r="B19" s="17"/>
      <c r="C19" s="18"/>
      <c r="D19" s="19"/>
      <c r="E19" s="19"/>
      <c r="F19" s="19"/>
      <c r="G19" s="19"/>
      <c r="H19" s="18"/>
      <c r="I19" s="19"/>
      <c r="J19" s="19"/>
      <c r="K19" s="19"/>
      <c r="L19" s="19"/>
      <c r="M19" s="19"/>
    </row>
    <row r="20" spans="1:17" s="10" customFormat="1" ht="15.75" x14ac:dyDescent="0.25">
      <c r="A20" s="10" t="s">
        <v>0</v>
      </c>
      <c r="B20" s="11" t="s">
        <v>8</v>
      </c>
      <c r="C20" s="8" t="s">
        <v>9</v>
      </c>
      <c r="D20" s="8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I20" s="9" t="s">
        <v>15</v>
      </c>
      <c r="J20" s="10" t="s">
        <v>16</v>
      </c>
      <c r="K20" s="10" t="s">
        <v>17</v>
      </c>
      <c r="L20" s="10" t="s">
        <v>18</v>
      </c>
      <c r="M20" s="10" t="s">
        <v>19</v>
      </c>
      <c r="N20" s="10" t="s">
        <v>20</v>
      </c>
      <c r="O20" s="14" t="s">
        <v>21</v>
      </c>
      <c r="P20" s="10" t="s">
        <v>22</v>
      </c>
      <c r="Q20" s="10" t="s">
        <v>23</v>
      </c>
    </row>
    <row r="21" spans="1:17" x14ac:dyDescent="0.2">
      <c r="B21" s="20" t="s">
        <v>48</v>
      </c>
      <c r="C21" s="20" t="s">
        <v>49</v>
      </c>
      <c r="D21" s="20">
        <v>32</v>
      </c>
      <c r="E21" s="16" t="s">
        <v>25</v>
      </c>
      <c r="F21" s="16"/>
      <c r="G21" s="15">
        <v>11</v>
      </c>
      <c r="H21" s="15" t="s">
        <v>50</v>
      </c>
      <c r="I21" s="16" t="s">
        <v>51</v>
      </c>
      <c r="J21" s="19">
        <v>0</v>
      </c>
      <c r="K21" s="19">
        <f t="shared" ref="K21:K44" si="4">J21/8</f>
        <v>0</v>
      </c>
      <c r="L21" s="19">
        <f t="shared" ref="L21:L41" si="5">J21/16</f>
        <v>0</v>
      </c>
      <c r="M21" s="19">
        <f t="shared" ref="M21:M41" si="6">J21/32</f>
        <v>0</v>
      </c>
      <c r="N21" s="1" t="s">
        <v>52</v>
      </c>
      <c r="O21" s="3">
        <v>3</v>
      </c>
      <c r="P21" s="1">
        <v>1</v>
      </c>
      <c r="Q21" s="1">
        <v>0</v>
      </c>
    </row>
    <row r="22" spans="1:17" x14ac:dyDescent="0.2">
      <c r="B22" s="20" t="s">
        <v>53</v>
      </c>
      <c r="C22" s="20" t="s">
        <v>54</v>
      </c>
      <c r="D22" s="20">
        <v>16</v>
      </c>
      <c r="E22" s="16" t="s">
        <v>25</v>
      </c>
      <c r="F22" s="16"/>
      <c r="G22" s="15">
        <v>12</v>
      </c>
      <c r="H22" s="15" t="s">
        <v>34</v>
      </c>
      <c r="I22" s="16" t="s">
        <v>55</v>
      </c>
      <c r="J22" s="1">
        <f t="shared" ref="J22:J41" si="7">J21+D21</f>
        <v>32</v>
      </c>
      <c r="K22" s="1">
        <f t="shared" si="4"/>
        <v>4</v>
      </c>
      <c r="L22" s="1">
        <f t="shared" si="5"/>
        <v>2</v>
      </c>
      <c r="M22" s="1">
        <f t="shared" si="6"/>
        <v>1</v>
      </c>
      <c r="N22" s="1" t="s">
        <v>52</v>
      </c>
      <c r="O22" s="3">
        <v>3</v>
      </c>
      <c r="P22" s="1">
        <v>2</v>
      </c>
      <c r="Q22" s="1">
        <v>0</v>
      </c>
    </row>
    <row r="23" spans="1:17" x14ac:dyDescent="0.2">
      <c r="B23" s="20" t="s">
        <v>56</v>
      </c>
      <c r="C23" s="20" t="s">
        <v>57</v>
      </c>
      <c r="D23" s="20">
        <v>8</v>
      </c>
      <c r="E23" s="16" t="s">
        <v>25</v>
      </c>
      <c r="F23" s="16"/>
      <c r="G23" s="15">
        <v>2</v>
      </c>
      <c r="H23" s="15" t="s">
        <v>34</v>
      </c>
      <c r="I23" s="16" t="s">
        <v>58</v>
      </c>
      <c r="J23" s="1">
        <f t="shared" si="7"/>
        <v>48</v>
      </c>
      <c r="K23" s="1">
        <f t="shared" si="4"/>
        <v>6</v>
      </c>
      <c r="L23" s="1">
        <f t="shared" si="5"/>
        <v>3</v>
      </c>
      <c r="M23" s="1">
        <f t="shared" si="6"/>
        <v>1.5</v>
      </c>
      <c r="N23" s="1" t="s">
        <v>52</v>
      </c>
      <c r="O23" s="3">
        <v>3</v>
      </c>
      <c r="P23" s="1">
        <v>3</v>
      </c>
      <c r="Q23" s="1">
        <v>0</v>
      </c>
    </row>
    <row r="24" spans="1:17" x14ac:dyDescent="0.2">
      <c r="B24" s="20" t="s">
        <v>59</v>
      </c>
      <c r="C24" s="20" t="s">
        <v>60</v>
      </c>
      <c r="D24" s="20">
        <v>8</v>
      </c>
      <c r="E24" s="16" t="s">
        <v>25</v>
      </c>
      <c r="F24" s="16"/>
      <c r="G24" s="15">
        <v>2</v>
      </c>
      <c r="H24" s="15" t="s">
        <v>34</v>
      </c>
      <c r="I24" s="16" t="s">
        <v>61</v>
      </c>
      <c r="J24" s="1">
        <f t="shared" si="7"/>
        <v>56</v>
      </c>
      <c r="K24" s="1">
        <f t="shared" si="4"/>
        <v>7</v>
      </c>
      <c r="L24" s="1">
        <f t="shared" si="5"/>
        <v>3.5</v>
      </c>
      <c r="M24" s="1">
        <f t="shared" si="6"/>
        <v>1.75</v>
      </c>
      <c r="N24" s="1" t="s">
        <v>52</v>
      </c>
      <c r="O24" s="3">
        <v>3</v>
      </c>
      <c r="P24" s="1">
        <v>4</v>
      </c>
      <c r="Q24" s="1">
        <v>0</v>
      </c>
    </row>
    <row r="25" spans="1:17" x14ac:dyDescent="0.2">
      <c r="B25" s="20" t="s">
        <v>62</v>
      </c>
      <c r="C25" s="20" t="s">
        <v>63</v>
      </c>
      <c r="D25" s="20">
        <v>8</v>
      </c>
      <c r="E25" s="16" t="s">
        <v>64</v>
      </c>
      <c r="F25" s="16"/>
      <c r="G25" s="15">
        <v>4</v>
      </c>
      <c r="H25" s="15" t="s">
        <v>65</v>
      </c>
      <c r="I25" s="16" t="s">
        <v>66</v>
      </c>
      <c r="J25" s="1">
        <f t="shared" si="7"/>
        <v>64</v>
      </c>
      <c r="K25" s="1">
        <f t="shared" si="4"/>
        <v>8</v>
      </c>
      <c r="L25" s="1">
        <f t="shared" si="5"/>
        <v>4</v>
      </c>
      <c r="M25" s="1">
        <f t="shared" si="6"/>
        <v>2</v>
      </c>
      <c r="N25" s="1" t="s">
        <v>67</v>
      </c>
      <c r="O25" s="3">
        <v>4</v>
      </c>
      <c r="P25" s="1">
        <v>3</v>
      </c>
      <c r="Q25" s="1">
        <v>0</v>
      </c>
    </row>
    <row r="26" spans="1:17" x14ac:dyDescent="0.2">
      <c r="B26" s="20" t="s">
        <v>345</v>
      </c>
      <c r="C26" s="20" t="s">
        <v>68</v>
      </c>
      <c r="D26" s="20">
        <v>8</v>
      </c>
      <c r="E26" s="16" t="s">
        <v>64</v>
      </c>
      <c r="F26" s="16"/>
      <c r="G26" s="15">
        <v>5</v>
      </c>
      <c r="H26" s="15" t="s">
        <v>34</v>
      </c>
      <c r="I26" s="16" t="s">
        <v>69</v>
      </c>
      <c r="J26" s="1">
        <f t="shared" si="7"/>
        <v>72</v>
      </c>
      <c r="K26" s="1">
        <f t="shared" si="4"/>
        <v>9</v>
      </c>
      <c r="L26" s="1">
        <f t="shared" si="5"/>
        <v>4.5</v>
      </c>
      <c r="M26" s="1">
        <f t="shared" si="6"/>
        <v>2.25</v>
      </c>
      <c r="N26" s="1" t="s">
        <v>67</v>
      </c>
      <c r="O26" s="3">
        <v>4</v>
      </c>
      <c r="P26" s="1">
        <v>1</v>
      </c>
      <c r="Q26" s="1">
        <v>0</v>
      </c>
    </row>
    <row r="27" spans="1:17" x14ac:dyDescent="0.2">
      <c r="B27" s="20" t="s">
        <v>70</v>
      </c>
      <c r="C27" s="20" t="s">
        <v>71</v>
      </c>
      <c r="D27" s="20">
        <v>8</v>
      </c>
      <c r="E27" s="16" t="s">
        <v>64</v>
      </c>
      <c r="F27" s="16"/>
      <c r="G27" s="15">
        <v>13</v>
      </c>
      <c r="H27" s="15" t="s">
        <v>34</v>
      </c>
      <c r="I27" s="16" t="s">
        <v>72</v>
      </c>
      <c r="J27" s="1">
        <f t="shared" si="7"/>
        <v>80</v>
      </c>
      <c r="K27" s="1">
        <f t="shared" si="4"/>
        <v>10</v>
      </c>
      <c r="L27" s="1">
        <f t="shared" si="5"/>
        <v>5</v>
      </c>
      <c r="M27" s="1">
        <f t="shared" si="6"/>
        <v>2.5</v>
      </c>
      <c r="N27" s="1" t="s">
        <v>67</v>
      </c>
      <c r="O27" s="3">
        <v>4</v>
      </c>
      <c r="P27" s="1">
        <v>2</v>
      </c>
      <c r="Q27" s="1">
        <v>0</v>
      </c>
    </row>
    <row r="28" spans="1:17" x14ac:dyDescent="0.2">
      <c r="B28" s="20" t="s">
        <v>345</v>
      </c>
      <c r="C28" s="20" t="s">
        <v>73</v>
      </c>
      <c r="D28" s="20">
        <v>8</v>
      </c>
      <c r="E28" s="16" t="s">
        <v>25</v>
      </c>
      <c r="F28" s="16"/>
      <c r="G28" s="15">
        <v>5</v>
      </c>
      <c r="H28" s="15" t="s">
        <v>34</v>
      </c>
      <c r="I28" s="16" t="s">
        <v>74</v>
      </c>
      <c r="J28" s="1">
        <f t="shared" si="7"/>
        <v>88</v>
      </c>
      <c r="K28" s="1">
        <f t="shared" si="4"/>
        <v>11</v>
      </c>
      <c r="L28" s="1">
        <f t="shared" si="5"/>
        <v>5.5</v>
      </c>
      <c r="M28" s="1">
        <f t="shared" si="6"/>
        <v>2.75</v>
      </c>
      <c r="N28" s="1" t="s">
        <v>75</v>
      </c>
      <c r="O28" s="3">
        <v>5</v>
      </c>
      <c r="P28" s="1">
        <v>1</v>
      </c>
      <c r="Q28" s="1">
        <v>0</v>
      </c>
    </row>
    <row r="29" spans="1:17" x14ac:dyDescent="0.2">
      <c r="B29" s="20" t="s">
        <v>345</v>
      </c>
      <c r="C29" s="20" t="s">
        <v>76</v>
      </c>
      <c r="D29" s="20">
        <v>8</v>
      </c>
      <c r="E29" s="16" t="s">
        <v>25</v>
      </c>
      <c r="F29" s="16"/>
      <c r="G29" s="15">
        <v>5</v>
      </c>
      <c r="H29" s="15" t="s">
        <v>34</v>
      </c>
      <c r="I29" s="16" t="s">
        <v>77</v>
      </c>
      <c r="J29" s="1">
        <f t="shared" si="7"/>
        <v>96</v>
      </c>
      <c r="K29" s="1">
        <f t="shared" si="4"/>
        <v>12</v>
      </c>
      <c r="L29" s="1">
        <f t="shared" si="5"/>
        <v>6</v>
      </c>
      <c r="M29" s="1">
        <f t="shared" si="6"/>
        <v>3</v>
      </c>
      <c r="N29" s="1" t="s">
        <v>78</v>
      </c>
      <c r="O29" s="3">
        <v>6</v>
      </c>
      <c r="P29" s="1">
        <v>1</v>
      </c>
      <c r="Q29" s="1">
        <v>0</v>
      </c>
    </row>
    <row r="30" spans="1:17" x14ac:dyDescent="0.2">
      <c r="B30" s="20" t="s">
        <v>345</v>
      </c>
      <c r="C30" s="20" t="s">
        <v>79</v>
      </c>
      <c r="D30" s="20">
        <v>8</v>
      </c>
      <c r="E30" s="16" t="s">
        <v>25</v>
      </c>
      <c r="F30" s="16"/>
      <c r="G30" s="15">
        <v>5</v>
      </c>
      <c r="H30" s="15" t="s">
        <v>34</v>
      </c>
      <c r="I30" s="16" t="s">
        <v>80</v>
      </c>
      <c r="J30" s="1">
        <f t="shared" si="7"/>
        <v>104</v>
      </c>
      <c r="K30" s="1">
        <f t="shared" si="4"/>
        <v>13</v>
      </c>
      <c r="L30" s="1">
        <f t="shared" si="5"/>
        <v>6.5</v>
      </c>
      <c r="M30" s="1">
        <f t="shared" si="6"/>
        <v>3.25</v>
      </c>
      <c r="N30" s="1" t="s">
        <v>81</v>
      </c>
      <c r="O30" s="3">
        <v>7</v>
      </c>
      <c r="P30" s="1">
        <v>1</v>
      </c>
      <c r="Q30" s="1">
        <v>0</v>
      </c>
    </row>
    <row r="31" spans="1:17" x14ac:dyDescent="0.2">
      <c r="B31" s="20" t="s">
        <v>345</v>
      </c>
      <c r="C31" s="20" t="s">
        <v>82</v>
      </c>
      <c r="D31" s="20">
        <v>8</v>
      </c>
      <c r="E31" s="16" t="s">
        <v>25</v>
      </c>
      <c r="F31" s="16"/>
      <c r="G31" s="15">
        <v>5</v>
      </c>
      <c r="H31" s="15" t="s">
        <v>34</v>
      </c>
      <c r="I31" s="16" t="s">
        <v>83</v>
      </c>
      <c r="J31" s="1">
        <f t="shared" si="7"/>
        <v>112</v>
      </c>
      <c r="K31" s="1">
        <f t="shared" si="4"/>
        <v>14</v>
      </c>
      <c r="L31" s="1">
        <f t="shared" si="5"/>
        <v>7</v>
      </c>
      <c r="M31" s="1">
        <f t="shared" si="6"/>
        <v>3.5</v>
      </c>
      <c r="N31" s="1" t="s">
        <v>84</v>
      </c>
      <c r="O31" s="3">
        <v>8</v>
      </c>
      <c r="P31" s="1">
        <v>1</v>
      </c>
      <c r="Q31" s="1">
        <v>0</v>
      </c>
    </row>
    <row r="32" spans="1:17" x14ac:dyDescent="0.2">
      <c r="B32" s="20" t="s">
        <v>70</v>
      </c>
      <c r="C32" s="20" t="s">
        <v>85</v>
      </c>
      <c r="D32" s="20">
        <v>8</v>
      </c>
      <c r="E32" s="16" t="s">
        <v>25</v>
      </c>
      <c r="F32" s="16"/>
      <c r="G32" s="15">
        <v>13</v>
      </c>
      <c r="H32" s="15" t="s">
        <v>34</v>
      </c>
      <c r="I32" s="16" t="s">
        <v>86</v>
      </c>
      <c r="J32" s="1">
        <f t="shared" si="7"/>
        <v>120</v>
      </c>
      <c r="K32" s="1">
        <f t="shared" si="4"/>
        <v>15</v>
      </c>
      <c r="L32" s="1">
        <f t="shared" si="5"/>
        <v>7.5</v>
      </c>
      <c r="M32" s="1">
        <f t="shared" si="6"/>
        <v>3.75</v>
      </c>
      <c r="N32" s="1" t="s">
        <v>75</v>
      </c>
      <c r="O32" s="3">
        <v>5</v>
      </c>
      <c r="P32" s="1">
        <v>2</v>
      </c>
      <c r="Q32" s="1">
        <v>0</v>
      </c>
    </row>
    <row r="33" spans="1:17" x14ac:dyDescent="0.2">
      <c r="B33" s="20" t="s">
        <v>70</v>
      </c>
      <c r="C33" s="20" t="s">
        <v>87</v>
      </c>
      <c r="D33" s="20">
        <v>8</v>
      </c>
      <c r="E33" s="16" t="s">
        <v>25</v>
      </c>
      <c r="F33" s="16"/>
      <c r="G33" s="15">
        <v>13</v>
      </c>
      <c r="H33" s="15" t="s">
        <v>34</v>
      </c>
      <c r="I33" s="16" t="s">
        <v>88</v>
      </c>
      <c r="J33" s="1">
        <f t="shared" si="7"/>
        <v>128</v>
      </c>
      <c r="K33" s="1">
        <f t="shared" si="4"/>
        <v>16</v>
      </c>
      <c r="L33" s="1">
        <f t="shared" si="5"/>
        <v>8</v>
      </c>
      <c r="M33" s="1">
        <f t="shared" si="6"/>
        <v>4</v>
      </c>
      <c r="N33" s="1" t="s">
        <v>78</v>
      </c>
      <c r="O33" s="3">
        <v>6</v>
      </c>
      <c r="P33" s="1">
        <v>2</v>
      </c>
      <c r="Q33" s="1">
        <v>0</v>
      </c>
    </row>
    <row r="34" spans="1:17" x14ac:dyDescent="0.2">
      <c r="B34" s="20" t="s">
        <v>70</v>
      </c>
      <c r="C34" s="20" t="s">
        <v>89</v>
      </c>
      <c r="D34" s="20">
        <v>8</v>
      </c>
      <c r="E34" s="16" t="s">
        <v>25</v>
      </c>
      <c r="F34" s="16"/>
      <c r="G34" s="15">
        <v>13</v>
      </c>
      <c r="H34" s="15" t="s">
        <v>34</v>
      </c>
      <c r="I34" s="16" t="s">
        <v>90</v>
      </c>
      <c r="J34" s="1">
        <f t="shared" si="7"/>
        <v>136</v>
      </c>
      <c r="K34" s="1">
        <f t="shared" si="4"/>
        <v>17</v>
      </c>
      <c r="L34" s="1">
        <f t="shared" si="5"/>
        <v>8.5</v>
      </c>
      <c r="M34" s="1">
        <f t="shared" si="6"/>
        <v>4.25</v>
      </c>
      <c r="N34" s="1" t="s">
        <v>81</v>
      </c>
      <c r="O34" s="3">
        <v>7</v>
      </c>
      <c r="P34" s="1">
        <v>2</v>
      </c>
      <c r="Q34" s="1">
        <v>0</v>
      </c>
    </row>
    <row r="35" spans="1:17" x14ac:dyDescent="0.2">
      <c r="B35" s="20" t="s">
        <v>70</v>
      </c>
      <c r="C35" s="20" t="s">
        <v>91</v>
      </c>
      <c r="D35" s="20">
        <v>8</v>
      </c>
      <c r="E35" s="16" t="s">
        <v>25</v>
      </c>
      <c r="F35" s="16"/>
      <c r="G35" s="15">
        <v>13</v>
      </c>
      <c r="H35" s="15" t="s">
        <v>34</v>
      </c>
      <c r="I35" s="16" t="s">
        <v>92</v>
      </c>
      <c r="J35" s="1">
        <f t="shared" si="7"/>
        <v>144</v>
      </c>
      <c r="K35" s="1">
        <f t="shared" si="4"/>
        <v>18</v>
      </c>
      <c r="L35" s="1">
        <f t="shared" si="5"/>
        <v>9</v>
      </c>
      <c r="M35" s="1">
        <f t="shared" si="6"/>
        <v>4.5</v>
      </c>
      <c r="N35" s="1" t="s">
        <v>84</v>
      </c>
      <c r="O35" s="3">
        <v>8</v>
      </c>
      <c r="P35" s="1">
        <v>2</v>
      </c>
      <c r="Q35" s="1">
        <v>0</v>
      </c>
    </row>
    <row r="36" spans="1:17" x14ac:dyDescent="0.2">
      <c r="B36" s="20" t="s">
        <v>346</v>
      </c>
      <c r="C36" s="20" t="s">
        <v>93</v>
      </c>
      <c r="D36" s="20">
        <v>8</v>
      </c>
      <c r="E36" s="16" t="s">
        <v>25</v>
      </c>
      <c r="F36" s="16"/>
      <c r="G36" s="15">
        <v>6</v>
      </c>
      <c r="H36" s="15" t="s">
        <v>94</v>
      </c>
      <c r="I36" s="16" t="s">
        <v>95</v>
      </c>
      <c r="J36" s="1">
        <f t="shared" si="7"/>
        <v>152</v>
      </c>
      <c r="K36" s="1">
        <f t="shared" si="4"/>
        <v>19</v>
      </c>
      <c r="L36" s="1">
        <f t="shared" si="5"/>
        <v>9.5</v>
      </c>
      <c r="M36" s="1">
        <f t="shared" si="6"/>
        <v>4.75</v>
      </c>
      <c r="N36" s="1" t="s">
        <v>75</v>
      </c>
      <c r="O36" s="3">
        <v>5</v>
      </c>
      <c r="P36" s="1">
        <v>3</v>
      </c>
      <c r="Q36" s="1">
        <v>0</v>
      </c>
    </row>
    <row r="37" spans="1:17" x14ac:dyDescent="0.2">
      <c r="B37" s="20" t="s">
        <v>346</v>
      </c>
      <c r="C37" s="20" t="s">
        <v>96</v>
      </c>
      <c r="D37" s="20">
        <v>8</v>
      </c>
      <c r="E37" s="16" t="s">
        <v>25</v>
      </c>
      <c r="F37" s="16"/>
      <c r="G37" s="15">
        <v>6</v>
      </c>
      <c r="H37" s="15" t="s">
        <v>94</v>
      </c>
      <c r="I37" s="16" t="s">
        <v>97</v>
      </c>
      <c r="J37" s="1">
        <f t="shared" si="7"/>
        <v>160</v>
      </c>
      <c r="K37" s="1">
        <f t="shared" si="4"/>
        <v>20</v>
      </c>
      <c r="L37" s="1">
        <f t="shared" si="5"/>
        <v>10</v>
      </c>
      <c r="M37" s="1">
        <f t="shared" si="6"/>
        <v>5</v>
      </c>
      <c r="N37" s="1" t="s">
        <v>78</v>
      </c>
      <c r="O37" s="3">
        <v>6</v>
      </c>
      <c r="P37" s="1">
        <v>3</v>
      </c>
      <c r="Q37" s="1">
        <v>0</v>
      </c>
    </row>
    <row r="38" spans="1:17" x14ac:dyDescent="0.2">
      <c r="B38" s="20" t="s">
        <v>346</v>
      </c>
      <c r="C38" s="20" t="s">
        <v>98</v>
      </c>
      <c r="D38" s="20">
        <v>8</v>
      </c>
      <c r="E38" s="16" t="s">
        <v>25</v>
      </c>
      <c r="F38" s="16"/>
      <c r="G38" s="15">
        <v>6</v>
      </c>
      <c r="H38" s="15" t="s">
        <v>94</v>
      </c>
      <c r="I38" s="16" t="s">
        <v>99</v>
      </c>
      <c r="J38" s="1">
        <f t="shared" si="7"/>
        <v>168</v>
      </c>
      <c r="K38" s="1">
        <f t="shared" si="4"/>
        <v>21</v>
      </c>
      <c r="L38" s="1">
        <f t="shared" si="5"/>
        <v>10.5</v>
      </c>
      <c r="M38" s="1">
        <f t="shared" si="6"/>
        <v>5.25</v>
      </c>
      <c r="N38" s="1" t="s">
        <v>81</v>
      </c>
      <c r="O38" s="3">
        <v>7</v>
      </c>
      <c r="P38" s="1">
        <v>3</v>
      </c>
      <c r="Q38" s="1">
        <v>0</v>
      </c>
    </row>
    <row r="39" spans="1:17" x14ac:dyDescent="0.2">
      <c r="B39" s="20" t="s">
        <v>346</v>
      </c>
      <c r="C39" s="20" t="s">
        <v>100</v>
      </c>
      <c r="D39" s="20">
        <v>8</v>
      </c>
      <c r="E39" s="16" t="s">
        <v>25</v>
      </c>
      <c r="F39" s="16"/>
      <c r="G39" s="15">
        <v>6</v>
      </c>
      <c r="H39" s="15" t="s">
        <v>94</v>
      </c>
      <c r="I39" s="16" t="s">
        <v>101</v>
      </c>
      <c r="J39" s="1">
        <f t="shared" si="7"/>
        <v>176</v>
      </c>
      <c r="K39" s="1">
        <f t="shared" si="4"/>
        <v>22</v>
      </c>
      <c r="L39" s="1">
        <f t="shared" si="5"/>
        <v>11</v>
      </c>
      <c r="M39" s="1">
        <f t="shared" si="6"/>
        <v>5.5</v>
      </c>
      <c r="N39" s="1" t="s">
        <v>84</v>
      </c>
      <c r="O39" s="3">
        <v>8</v>
      </c>
      <c r="P39" s="1">
        <v>3</v>
      </c>
      <c r="Q39" s="1">
        <v>0</v>
      </c>
    </row>
    <row r="40" spans="1:17" x14ac:dyDescent="0.2">
      <c r="B40" s="20" t="s">
        <v>102</v>
      </c>
      <c r="C40" s="20" t="s">
        <v>103</v>
      </c>
      <c r="D40" s="20">
        <v>8</v>
      </c>
      <c r="E40" s="16" t="s">
        <v>25</v>
      </c>
      <c r="F40" s="16"/>
      <c r="G40" s="15">
        <v>9</v>
      </c>
      <c r="H40" s="3" t="s">
        <v>104</v>
      </c>
      <c r="I40" s="16" t="s">
        <v>105</v>
      </c>
      <c r="J40" s="1">
        <f t="shared" si="7"/>
        <v>184</v>
      </c>
      <c r="K40" s="1">
        <f t="shared" si="4"/>
        <v>23</v>
      </c>
      <c r="L40" s="1">
        <f t="shared" si="5"/>
        <v>11.5</v>
      </c>
      <c r="M40" s="1">
        <f t="shared" si="6"/>
        <v>5.75</v>
      </c>
      <c r="N40" s="1" t="s">
        <v>106</v>
      </c>
      <c r="O40" s="3">
        <v>2</v>
      </c>
      <c r="P40" s="1">
        <v>1</v>
      </c>
      <c r="Q40" s="1">
        <v>0</v>
      </c>
    </row>
    <row r="41" spans="1:17" x14ac:dyDescent="0.2">
      <c r="B41" s="20" t="s">
        <v>107</v>
      </c>
      <c r="C41" s="20" t="s">
        <v>108</v>
      </c>
      <c r="D41" s="20">
        <v>8</v>
      </c>
      <c r="E41" s="16" t="s">
        <v>25</v>
      </c>
      <c r="F41" s="16"/>
      <c r="G41" s="15">
        <v>9</v>
      </c>
      <c r="H41" s="3" t="s">
        <v>104</v>
      </c>
      <c r="I41" s="16" t="s">
        <v>109</v>
      </c>
      <c r="J41" s="1">
        <f t="shared" si="7"/>
        <v>192</v>
      </c>
      <c r="K41" s="1">
        <f t="shared" si="4"/>
        <v>24</v>
      </c>
      <c r="L41" s="1">
        <f t="shared" si="5"/>
        <v>12</v>
      </c>
      <c r="M41" s="1">
        <f t="shared" si="6"/>
        <v>6</v>
      </c>
      <c r="N41" s="1" t="s">
        <v>67</v>
      </c>
      <c r="O41" s="3">
        <v>4</v>
      </c>
      <c r="P41" s="1">
        <v>4</v>
      </c>
      <c r="Q41" s="1">
        <v>0</v>
      </c>
    </row>
    <row r="42" spans="1:17" x14ac:dyDescent="0.2">
      <c r="B42" s="20" t="s">
        <v>110</v>
      </c>
      <c r="C42" s="20" t="s">
        <v>111</v>
      </c>
      <c r="D42" s="20">
        <v>8</v>
      </c>
      <c r="E42" s="16" t="s">
        <v>25</v>
      </c>
      <c r="F42" s="16"/>
      <c r="G42" s="15">
        <v>9</v>
      </c>
      <c r="H42" s="3" t="s">
        <v>104</v>
      </c>
      <c r="I42" s="16" t="s">
        <v>112</v>
      </c>
      <c r="J42" s="1">
        <f t="shared" ref="J42:J44" si="8">J41+D41</f>
        <v>200</v>
      </c>
      <c r="K42" s="1">
        <f t="shared" si="4"/>
        <v>25</v>
      </c>
      <c r="L42" s="1">
        <f t="shared" ref="L42:L44" si="9">J42/16</f>
        <v>12.5</v>
      </c>
      <c r="M42" s="1">
        <f t="shared" ref="M42:M44" si="10">J42/32</f>
        <v>6.25</v>
      </c>
      <c r="N42" s="1" t="s">
        <v>106</v>
      </c>
      <c r="O42" s="3">
        <v>2</v>
      </c>
      <c r="P42" s="1">
        <v>8</v>
      </c>
      <c r="Q42" s="1">
        <v>0</v>
      </c>
    </row>
    <row r="43" spans="1:17" x14ac:dyDescent="0.2">
      <c r="B43" s="20" t="s">
        <v>113</v>
      </c>
      <c r="C43" s="20" t="s">
        <v>114</v>
      </c>
      <c r="D43" s="18">
        <v>16</v>
      </c>
      <c r="E43" s="15" t="s">
        <v>25</v>
      </c>
      <c r="F43" s="15"/>
      <c r="G43" s="15">
        <v>0</v>
      </c>
      <c r="H43" s="15" t="s">
        <v>34</v>
      </c>
      <c r="I43" s="16" t="s">
        <v>137</v>
      </c>
      <c r="J43" s="1">
        <f t="shared" si="8"/>
        <v>208</v>
      </c>
      <c r="K43" s="1">
        <f t="shared" si="4"/>
        <v>26</v>
      </c>
      <c r="L43" s="1">
        <f t="shared" si="9"/>
        <v>13</v>
      </c>
      <c r="M43" s="1">
        <f t="shared" si="10"/>
        <v>6.5</v>
      </c>
      <c r="N43" s="1" t="s">
        <v>28</v>
      </c>
      <c r="O43" s="3">
        <v>0</v>
      </c>
      <c r="P43" s="1">
        <v>0</v>
      </c>
      <c r="Q43" s="1">
        <v>0</v>
      </c>
    </row>
    <row r="44" spans="1:17" x14ac:dyDescent="0.2">
      <c r="A44" s="1" t="s">
        <v>45</v>
      </c>
      <c r="B44" s="20"/>
      <c r="C44" s="20"/>
      <c r="D44" s="20"/>
      <c r="E44" s="16"/>
      <c r="F44" s="16"/>
      <c r="G44" s="16"/>
      <c r="H44" s="16"/>
      <c r="I44" s="16" t="s">
        <v>116</v>
      </c>
      <c r="J44" s="1">
        <f t="shared" si="8"/>
        <v>224</v>
      </c>
      <c r="K44" s="1">
        <f t="shared" si="4"/>
        <v>28</v>
      </c>
      <c r="L44" s="1">
        <f t="shared" si="9"/>
        <v>14</v>
      </c>
      <c r="M44" s="1">
        <f t="shared" si="10"/>
        <v>7</v>
      </c>
    </row>
    <row r="45" spans="1:17" x14ac:dyDescent="0.2">
      <c r="B45" s="20"/>
      <c r="C45" s="20"/>
      <c r="D45" s="20"/>
      <c r="E45" s="16"/>
      <c r="F45" s="16"/>
      <c r="G45" s="16"/>
      <c r="H45" s="16"/>
      <c r="I45" s="16"/>
      <c r="J45" s="19"/>
      <c r="K45" s="19"/>
      <c r="L45" s="19"/>
      <c r="M45" s="19"/>
    </row>
    <row r="46" spans="1:17" ht="12.75" customHeight="1" x14ac:dyDescent="0.2">
      <c r="A46" s="1" t="s">
        <v>0</v>
      </c>
      <c r="B46" s="34" t="s">
        <v>117</v>
      </c>
      <c r="C46" s="34"/>
      <c r="D46" s="34"/>
      <c r="E46" s="34"/>
      <c r="F46" s="34"/>
      <c r="G46" s="34"/>
      <c r="H46" s="34"/>
      <c r="I46" s="34"/>
    </row>
    <row r="47" spans="1:17" x14ac:dyDescent="0.2">
      <c r="A47" s="1" t="s">
        <v>118</v>
      </c>
      <c r="B47" s="20"/>
      <c r="C47" s="20"/>
      <c r="D47" s="20"/>
      <c r="E47" s="16"/>
      <c r="F47" s="16"/>
      <c r="G47" s="16"/>
      <c r="H47" s="16"/>
      <c r="I47" s="16"/>
      <c r="J47" s="19"/>
      <c r="K47" s="19"/>
      <c r="L47" s="19"/>
      <c r="M47" s="19"/>
    </row>
    <row r="48" spans="1:17" x14ac:dyDescent="0.2">
      <c r="A48" s="1" t="s">
        <v>119</v>
      </c>
      <c r="B48" s="20"/>
      <c r="C48" s="20"/>
      <c r="D48" s="20"/>
      <c r="E48" s="16"/>
      <c r="F48" s="16"/>
      <c r="G48" s="16"/>
      <c r="H48" s="16"/>
      <c r="I48" s="16"/>
      <c r="J48" s="19"/>
      <c r="K48" s="19"/>
      <c r="L48" s="19"/>
      <c r="M48" s="19"/>
    </row>
    <row r="49" spans="1:17" x14ac:dyDescent="0.2">
      <c r="B49" s="20" t="s">
        <v>120</v>
      </c>
      <c r="C49" s="20" t="s">
        <v>121</v>
      </c>
      <c r="D49" s="20">
        <v>1</v>
      </c>
      <c r="E49" s="16" t="s">
        <v>25</v>
      </c>
      <c r="F49" s="16"/>
      <c r="G49" s="15">
        <v>1</v>
      </c>
      <c r="H49" s="15" t="s">
        <v>34</v>
      </c>
      <c r="I49" s="16" t="s">
        <v>122</v>
      </c>
      <c r="J49" s="19">
        <v>0</v>
      </c>
      <c r="K49" s="19">
        <f t="shared" ref="K49:K54" si="11">J49/8</f>
        <v>0</v>
      </c>
      <c r="L49" s="19">
        <f t="shared" ref="L49:L54" si="12">J49/16</f>
        <v>0</v>
      </c>
      <c r="M49" s="19">
        <f t="shared" ref="M49:M54" si="13">J49/32</f>
        <v>0</v>
      </c>
      <c r="N49" s="1" t="s">
        <v>106</v>
      </c>
      <c r="O49" s="3">
        <v>2</v>
      </c>
      <c r="P49" s="1">
        <v>2</v>
      </c>
      <c r="Q49" s="1">
        <v>0</v>
      </c>
    </row>
    <row r="50" spans="1:17" x14ac:dyDescent="0.2">
      <c r="B50" s="20" t="s">
        <v>123</v>
      </c>
      <c r="C50" s="20" t="s">
        <v>124</v>
      </c>
      <c r="D50" s="20">
        <v>1</v>
      </c>
      <c r="E50" s="16" t="s">
        <v>25</v>
      </c>
      <c r="F50" s="16"/>
      <c r="G50" s="15">
        <v>1</v>
      </c>
      <c r="H50" s="15" t="s">
        <v>34</v>
      </c>
      <c r="I50" s="16" t="s">
        <v>125</v>
      </c>
      <c r="J50" s="1">
        <f>J49+D49</f>
        <v>1</v>
      </c>
      <c r="K50" s="1">
        <f t="shared" si="11"/>
        <v>0.125</v>
      </c>
      <c r="L50" s="1">
        <f t="shared" si="12"/>
        <v>6.25E-2</v>
      </c>
      <c r="M50" s="1">
        <f t="shared" si="13"/>
        <v>3.125E-2</v>
      </c>
      <c r="N50" s="1" t="s">
        <v>106</v>
      </c>
      <c r="O50" s="3">
        <v>2</v>
      </c>
      <c r="P50" s="1">
        <v>3</v>
      </c>
      <c r="Q50" s="1">
        <v>0</v>
      </c>
    </row>
    <row r="51" spans="1:17" x14ac:dyDescent="0.2">
      <c r="B51" s="20" t="s">
        <v>126</v>
      </c>
      <c r="C51" s="20" t="s">
        <v>127</v>
      </c>
      <c r="D51" s="20">
        <v>1</v>
      </c>
      <c r="E51" s="16" t="s">
        <v>25</v>
      </c>
      <c r="F51" s="16"/>
      <c r="G51" s="15">
        <v>1</v>
      </c>
      <c r="H51" s="15" t="s">
        <v>34</v>
      </c>
      <c r="I51" s="16" t="s">
        <v>128</v>
      </c>
      <c r="J51" s="1">
        <f>J50+D50</f>
        <v>2</v>
      </c>
      <c r="K51" s="1">
        <f t="shared" si="11"/>
        <v>0.25</v>
      </c>
      <c r="L51" s="1">
        <f t="shared" si="12"/>
        <v>0.125</v>
      </c>
      <c r="M51" s="1">
        <f t="shared" si="13"/>
        <v>6.25E-2</v>
      </c>
      <c r="N51" s="1" t="s">
        <v>52</v>
      </c>
      <c r="O51" s="3">
        <v>3</v>
      </c>
      <c r="P51" s="1">
        <v>5</v>
      </c>
      <c r="Q51" s="1">
        <v>0</v>
      </c>
    </row>
    <row r="52" spans="1:17" x14ac:dyDescent="0.2">
      <c r="B52" s="20" t="s">
        <v>129</v>
      </c>
      <c r="C52" s="20" t="s">
        <v>130</v>
      </c>
      <c r="D52" s="20">
        <v>1</v>
      </c>
      <c r="E52" s="16" t="s">
        <v>25</v>
      </c>
      <c r="F52" s="16"/>
      <c r="G52" s="15">
        <v>1</v>
      </c>
      <c r="H52" s="15" t="s">
        <v>34</v>
      </c>
      <c r="I52" s="16" t="s">
        <v>131</v>
      </c>
      <c r="J52" s="1">
        <f>J51+D51</f>
        <v>3</v>
      </c>
      <c r="K52" s="1">
        <f t="shared" si="11"/>
        <v>0.375</v>
      </c>
      <c r="L52" s="1">
        <f t="shared" si="12"/>
        <v>0.1875</v>
      </c>
      <c r="M52" s="1">
        <f t="shared" si="13"/>
        <v>9.375E-2</v>
      </c>
      <c r="N52" s="1" t="s">
        <v>52</v>
      </c>
      <c r="O52" s="3">
        <v>3</v>
      </c>
      <c r="P52" s="1">
        <v>6</v>
      </c>
      <c r="Q52" s="1">
        <v>0</v>
      </c>
    </row>
    <row r="53" spans="1:17" x14ac:dyDescent="0.2">
      <c r="B53" s="20" t="s">
        <v>132</v>
      </c>
      <c r="C53" s="20" t="s">
        <v>133</v>
      </c>
      <c r="D53" s="20">
        <v>1</v>
      </c>
      <c r="E53" s="16" t="s">
        <v>25</v>
      </c>
      <c r="F53" s="16"/>
      <c r="G53" s="15">
        <v>1</v>
      </c>
      <c r="H53" s="15" t="s">
        <v>34</v>
      </c>
      <c r="I53" s="16" t="s">
        <v>134</v>
      </c>
      <c r="J53" s="1">
        <f>J52+D52</f>
        <v>4</v>
      </c>
      <c r="K53" s="1">
        <f t="shared" si="11"/>
        <v>0.5</v>
      </c>
      <c r="L53" s="1">
        <f t="shared" si="12"/>
        <v>0.25</v>
      </c>
      <c r="M53" s="1">
        <f t="shared" si="13"/>
        <v>0.125</v>
      </c>
      <c r="N53" s="1" t="s">
        <v>52</v>
      </c>
      <c r="O53" s="3">
        <v>3</v>
      </c>
      <c r="P53" s="1">
        <v>7</v>
      </c>
      <c r="Q53" s="1">
        <v>0</v>
      </c>
    </row>
    <row r="54" spans="1:17" x14ac:dyDescent="0.2">
      <c r="B54" s="15" t="s">
        <v>135</v>
      </c>
      <c r="C54" s="15" t="s">
        <v>136</v>
      </c>
      <c r="D54" s="15">
        <v>3</v>
      </c>
      <c r="E54" s="15" t="s">
        <v>25</v>
      </c>
      <c r="F54" s="15"/>
      <c r="G54" s="15">
        <v>0</v>
      </c>
      <c r="H54" s="15" t="s">
        <v>34</v>
      </c>
      <c r="I54" s="16" t="s">
        <v>137</v>
      </c>
      <c r="J54" s="1">
        <f>J53+D53</f>
        <v>5</v>
      </c>
      <c r="K54" s="1">
        <f t="shared" si="11"/>
        <v>0.625</v>
      </c>
      <c r="L54" s="1">
        <f t="shared" si="12"/>
        <v>0.3125</v>
      </c>
      <c r="M54" s="1">
        <f t="shared" si="13"/>
        <v>0.15625</v>
      </c>
      <c r="N54" s="1" t="s">
        <v>28</v>
      </c>
      <c r="O54" s="3">
        <v>0</v>
      </c>
      <c r="P54" s="1">
        <v>0</v>
      </c>
      <c r="Q54" s="1">
        <v>0</v>
      </c>
    </row>
    <row r="55" spans="1:17" x14ac:dyDescent="0.2">
      <c r="A55" s="1" t="s">
        <v>138</v>
      </c>
      <c r="B55" s="15"/>
      <c r="C55" s="15"/>
      <c r="D55" s="15"/>
      <c r="E55" s="15"/>
      <c r="F55" s="15"/>
      <c r="G55" s="15"/>
      <c r="H55" s="15"/>
      <c r="I55" s="16"/>
    </row>
    <row r="56" spans="1:17" x14ac:dyDescent="0.2">
      <c r="A56" s="1" t="s">
        <v>139</v>
      </c>
      <c r="B56" s="15"/>
      <c r="C56" s="15"/>
      <c r="D56" s="15"/>
      <c r="E56" s="15"/>
      <c r="F56" s="15"/>
      <c r="G56" s="15"/>
      <c r="H56" s="15"/>
      <c r="I56" s="16"/>
    </row>
    <row r="57" spans="1:17" x14ac:dyDescent="0.2">
      <c r="B57" s="15" t="s">
        <v>135</v>
      </c>
      <c r="C57" s="15" t="s">
        <v>136</v>
      </c>
      <c r="D57" s="15">
        <v>3</v>
      </c>
      <c r="E57" s="15" t="s">
        <v>25</v>
      </c>
      <c r="F57" s="15"/>
      <c r="G57" s="15">
        <v>0</v>
      </c>
      <c r="H57" s="15" t="s">
        <v>34</v>
      </c>
      <c r="I57" s="16" t="s">
        <v>137</v>
      </c>
      <c r="J57" s="1">
        <f t="shared" ref="J57:J62" si="14">J56+D56</f>
        <v>0</v>
      </c>
      <c r="K57" s="1">
        <f t="shared" ref="K57:K62" si="15">J57/8</f>
        <v>0</v>
      </c>
      <c r="L57" s="1">
        <f t="shared" ref="L57:L62" si="16">J57/16</f>
        <v>0</v>
      </c>
      <c r="M57" s="1">
        <f t="shared" ref="M57:M62" si="17">J57/32</f>
        <v>0</v>
      </c>
      <c r="N57" s="1" t="s">
        <v>28</v>
      </c>
      <c r="O57" s="3">
        <v>0</v>
      </c>
      <c r="P57" s="1">
        <v>0</v>
      </c>
      <c r="Q57" s="1">
        <v>0</v>
      </c>
    </row>
    <row r="58" spans="1:17" x14ac:dyDescent="0.2">
      <c r="B58" s="20" t="s">
        <v>132</v>
      </c>
      <c r="C58" s="20" t="s">
        <v>133</v>
      </c>
      <c r="D58" s="20">
        <v>1</v>
      </c>
      <c r="E58" s="16" t="s">
        <v>25</v>
      </c>
      <c r="F58" s="16"/>
      <c r="G58" s="15">
        <v>1</v>
      </c>
      <c r="H58" s="15" t="s">
        <v>34</v>
      </c>
      <c r="I58" s="16" t="s">
        <v>134</v>
      </c>
      <c r="J58" s="1">
        <f t="shared" si="14"/>
        <v>3</v>
      </c>
      <c r="K58" s="1">
        <f t="shared" si="15"/>
        <v>0.375</v>
      </c>
      <c r="L58" s="1">
        <f t="shared" si="16"/>
        <v>0.1875</v>
      </c>
      <c r="M58" s="1">
        <f t="shared" si="17"/>
        <v>9.375E-2</v>
      </c>
      <c r="N58" s="1" t="s">
        <v>52</v>
      </c>
      <c r="O58" s="3">
        <v>3</v>
      </c>
      <c r="P58" s="1">
        <v>7</v>
      </c>
      <c r="Q58" s="1">
        <v>0</v>
      </c>
    </row>
    <row r="59" spans="1:17" x14ac:dyDescent="0.2">
      <c r="B59" s="20" t="s">
        <v>129</v>
      </c>
      <c r="C59" s="20" t="s">
        <v>130</v>
      </c>
      <c r="D59" s="20">
        <v>1</v>
      </c>
      <c r="E59" s="16" t="s">
        <v>25</v>
      </c>
      <c r="F59" s="16"/>
      <c r="G59" s="15">
        <v>1</v>
      </c>
      <c r="H59" s="15" t="s">
        <v>34</v>
      </c>
      <c r="I59" s="16" t="s">
        <v>131</v>
      </c>
      <c r="J59" s="1">
        <f t="shared" si="14"/>
        <v>4</v>
      </c>
      <c r="K59" s="1">
        <f t="shared" si="15"/>
        <v>0.5</v>
      </c>
      <c r="L59" s="1">
        <f t="shared" si="16"/>
        <v>0.25</v>
      </c>
      <c r="M59" s="1">
        <f t="shared" si="17"/>
        <v>0.125</v>
      </c>
      <c r="N59" s="1" t="s">
        <v>52</v>
      </c>
      <c r="O59" s="3">
        <v>3</v>
      </c>
      <c r="P59" s="1">
        <v>6</v>
      </c>
      <c r="Q59" s="1">
        <v>0</v>
      </c>
    </row>
    <row r="60" spans="1:17" x14ac:dyDescent="0.2">
      <c r="B60" s="20" t="s">
        <v>126</v>
      </c>
      <c r="C60" s="20" t="s">
        <v>127</v>
      </c>
      <c r="D60" s="20">
        <v>1</v>
      </c>
      <c r="E60" s="16" t="s">
        <v>25</v>
      </c>
      <c r="F60" s="16"/>
      <c r="G60" s="15">
        <v>1</v>
      </c>
      <c r="H60" s="15" t="s">
        <v>34</v>
      </c>
      <c r="I60" s="16" t="s">
        <v>128</v>
      </c>
      <c r="J60" s="1">
        <f t="shared" si="14"/>
        <v>5</v>
      </c>
      <c r="K60" s="1">
        <f t="shared" si="15"/>
        <v>0.625</v>
      </c>
      <c r="L60" s="1">
        <f t="shared" si="16"/>
        <v>0.3125</v>
      </c>
      <c r="M60" s="1">
        <f t="shared" si="17"/>
        <v>0.15625</v>
      </c>
      <c r="N60" s="1" t="s">
        <v>52</v>
      </c>
      <c r="O60" s="3">
        <v>3</v>
      </c>
      <c r="P60" s="1">
        <v>5</v>
      </c>
      <c r="Q60" s="1">
        <v>0</v>
      </c>
    </row>
    <row r="61" spans="1:17" x14ac:dyDescent="0.2">
      <c r="B61" s="20" t="s">
        <v>123</v>
      </c>
      <c r="C61" s="20" t="s">
        <v>124</v>
      </c>
      <c r="D61" s="20">
        <v>1</v>
      </c>
      <c r="E61" s="16" t="s">
        <v>25</v>
      </c>
      <c r="F61" s="16"/>
      <c r="G61" s="15">
        <v>1</v>
      </c>
      <c r="H61" s="15" t="s">
        <v>34</v>
      </c>
      <c r="I61" s="16" t="s">
        <v>125</v>
      </c>
      <c r="J61" s="1">
        <f t="shared" si="14"/>
        <v>6</v>
      </c>
      <c r="K61" s="1">
        <f t="shared" si="15"/>
        <v>0.75</v>
      </c>
      <c r="L61" s="1">
        <f t="shared" si="16"/>
        <v>0.375</v>
      </c>
      <c r="M61" s="1">
        <f t="shared" si="17"/>
        <v>0.1875</v>
      </c>
      <c r="N61" s="1" t="s">
        <v>106</v>
      </c>
      <c r="O61" s="3">
        <v>2</v>
      </c>
      <c r="P61" s="1">
        <v>3</v>
      </c>
      <c r="Q61" s="1">
        <v>0</v>
      </c>
    </row>
    <row r="62" spans="1:17" x14ac:dyDescent="0.2">
      <c r="B62" s="20" t="s">
        <v>120</v>
      </c>
      <c r="C62" s="20" t="s">
        <v>121</v>
      </c>
      <c r="D62" s="20">
        <v>1</v>
      </c>
      <c r="E62" s="16" t="s">
        <v>25</v>
      </c>
      <c r="F62" s="16"/>
      <c r="G62" s="15">
        <v>1</v>
      </c>
      <c r="H62" s="15" t="s">
        <v>34</v>
      </c>
      <c r="I62" s="16" t="s">
        <v>122</v>
      </c>
      <c r="J62" s="1">
        <f t="shared" si="14"/>
        <v>7</v>
      </c>
      <c r="K62" s="1">
        <f t="shared" si="15"/>
        <v>0.875</v>
      </c>
      <c r="L62" s="1">
        <f t="shared" si="16"/>
        <v>0.4375</v>
      </c>
      <c r="M62" s="1">
        <f t="shared" si="17"/>
        <v>0.21875</v>
      </c>
      <c r="N62" s="1" t="s">
        <v>106</v>
      </c>
      <c r="O62" s="3">
        <v>2</v>
      </c>
      <c r="P62" s="1">
        <v>2</v>
      </c>
      <c r="Q62" s="1">
        <v>0</v>
      </c>
    </row>
    <row r="63" spans="1:17" x14ac:dyDescent="0.2">
      <c r="A63" s="1" t="s">
        <v>138</v>
      </c>
      <c r="B63" s="15"/>
      <c r="C63" s="15"/>
      <c r="D63" s="15"/>
      <c r="E63" s="15"/>
      <c r="F63" s="15"/>
      <c r="G63" s="15"/>
      <c r="H63" s="15"/>
      <c r="I63" s="16"/>
    </row>
    <row r="64" spans="1:17" x14ac:dyDescent="0.2">
      <c r="B64" s="15" t="s">
        <v>140</v>
      </c>
      <c r="C64" s="15" t="s">
        <v>141</v>
      </c>
      <c r="D64" s="15">
        <v>8</v>
      </c>
      <c r="E64" s="16" t="s">
        <v>25</v>
      </c>
      <c r="F64" s="15"/>
      <c r="G64" s="15">
        <v>2</v>
      </c>
      <c r="H64" s="15" t="s">
        <v>34</v>
      </c>
      <c r="I64" s="16" t="s">
        <v>142</v>
      </c>
      <c r="J64" s="1">
        <f>J62+D62</f>
        <v>8</v>
      </c>
      <c r="K64" s="1">
        <f t="shared" ref="K64:K80" si="18">J64/8</f>
        <v>1</v>
      </c>
      <c r="L64" s="1">
        <f t="shared" ref="L64:L80" si="19">J64/16</f>
        <v>0.5</v>
      </c>
      <c r="M64" s="1">
        <f t="shared" ref="M64:M80" si="20">J64/32</f>
        <v>0.25</v>
      </c>
      <c r="N64" s="1" t="s">
        <v>44</v>
      </c>
      <c r="O64" s="3">
        <v>1</v>
      </c>
      <c r="P64" s="1">
        <v>7</v>
      </c>
      <c r="Q64" s="1">
        <v>0</v>
      </c>
    </row>
    <row r="65" spans="1:17" x14ac:dyDescent="0.2">
      <c r="B65" s="15" t="s">
        <v>143</v>
      </c>
      <c r="C65" s="15" t="s">
        <v>144</v>
      </c>
      <c r="D65" s="15">
        <v>8</v>
      </c>
      <c r="E65" s="16" t="s">
        <v>25</v>
      </c>
      <c r="F65" s="15"/>
      <c r="G65" s="15">
        <v>7</v>
      </c>
      <c r="H65" s="15" t="s">
        <v>145</v>
      </c>
      <c r="I65" s="16" t="s">
        <v>146</v>
      </c>
      <c r="J65" s="1">
        <f t="shared" ref="J65:J80" si="21">J64+D64</f>
        <v>16</v>
      </c>
      <c r="K65" s="1">
        <f t="shared" si="18"/>
        <v>2</v>
      </c>
      <c r="L65" s="1">
        <f t="shared" si="19"/>
        <v>1</v>
      </c>
      <c r="M65" s="1">
        <f t="shared" si="20"/>
        <v>0.5</v>
      </c>
      <c r="N65" s="1" t="s">
        <v>44</v>
      </c>
      <c r="O65" s="3">
        <v>1</v>
      </c>
      <c r="P65" s="1">
        <v>2</v>
      </c>
      <c r="Q65" s="1">
        <v>0</v>
      </c>
    </row>
    <row r="66" spans="1:17" x14ac:dyDescent="0.2">
      <c r="B66" s="15" t="s">
        <v>147</v>
      </c>
      <c r="C66" s="15" t="s">
        <v>148</v>
      </c>
      <c r="D66" s="15">
        <v>8</v>
      </c>
      <c r="E66" s="16" t="s">
        <v>25</v>
      </c>
      <c r="F66" s="15"/>
      <c r="G66" s="15">
        <v>7</v>
      </c>
      <c r="H66" s="15" t="s">
        <v>145</v>
      </c>
      <c r="I66" s="16" t="s">
        <v>149</v>
      </c>
      <c r="J66" s="1">
        <f t="shared" si="21"/>
        <v>24</v>
      </c>
      <c r="K66" s="1">
        <f t="shared" si="18"/>
        <v>3</v>
      </c>
      <c r="L66" s="1">
        <f t="shared" si="19"/>
        <v>1.5</v>
      </c>
      <c r="M66" s="1">
        <f t="shared" si="20"/>
        <v>0.75</v>
      </c>
      <c r="N66" s="1" t="s">
        <v>44</v>
      </c>
      <c r="O66" s="3">
        <v>1</v>
      </c>
      <c r="P66" s="1">
        <v>3</v>
      </c>
      <c r="Q66" s="1">
        <v>0</v>
      </c>
    </row>
    <row r="67" spans="1:17" x14ac:dyDescent="0.2">
      <c r="B67" s="15" t="s">
        <v>150</v>
      </c>
      <c r="C67" s="15" t="s">
        <v>151</v>
      </c>
      <c r="D67" s="15">
        <v>8</v>
      </c>
      <c r="E67" s="16" t="s">
        <v>25</v>
      </c>
      <c r="F67" s="15"/>
      <c r="G67" s="15">
        <v>7</v>
      </c>
      <c r="H67" s="15" t="s">
        <v>145</v>
      </c>
      <c r="I67" s="16" t="s">
        <v>152</v>
      </c>
      <c r="J67" s="1">
        <f t="shared" si="21"/>
        <v>32</v>
      </c>
      <c r="K67" s="1">
        <f t="shared" si="18"/>
        <v>4</v>
      </c>
      <c r="L67" s="1">
        <f t="shared" si="19"/>
        <v>2</v>
      </c>
      <c r="M67" s="1">
        <f t="shared" si="20"/>
        <v>1</v>
      </c>
      <c r="N67" s="1" t="s">
        <v>44</v>
      </c>
      <c r="O67" s="3">
        <v>1</v>
      </c>
      <c r="P67" s="1">
        <v>4</v>
      </c>
      <c r="Q67" s="1">
        <v>0</v>
      </c>
    </row>
    <row r="68" spans="1:17" ht="30" x14ac:dyDescent="0.2">
      <c r="B68" s="15" t="s">
        <v>153</v>
      </c>
      <c r="C68" s="15" t="s">
        <v>154</v>
      </c>
      <c r="D68" s="15">
        <v>8</v>
      </c>
      <c r="E68" s="16" t="s">
        <v>25</v>
      </c>
      <c r="F68" s="15"/>
      <c r="G68" s="15">
        <v>8</v>
      </c>
      <c r="H68" s="15" t="s">
        <v>50</v>
      </c>
      <c r="I68" s="16" t="s">
        <v>155</v>
      </c>
      <c r="J68" s="1">
        <f t="shared" si="21"/>
        <v>40</v>
      </c>
      <c r="K68" s="1">
        <f t="shared" si="18"/>
        <v>5</v>
      </c>
      <c r="L68" s="1">
        <f t="shared" si="19"/>
        <v>2.5</v>
      </c>
      <c r="M68" s="1">
        <f t="shared" si="20"/>
        <v>1.25</v>
      </c>
      <c r="N68" s="1" t="s">
        <v>44</v>
      </c>
      <c r="O68" s="3">
        <v>1</v>
      </c>
      <c r="P68" s="1">
        <v>5</v>
      </c>
      <c r="Q68" s="1">
        <v>0</v>
      </c>
    </row>
    <row r="69" spans="1:17" ht="30" x14ac:dyDescent="0.2">
      <c r="B69" s="15" t="s">
        <v>156</v>
      </c>
      <c r="C69" s="15" t="s">
        <v>157</v>
      </c>
      <c r="D69" s="15">
        <v>8</v>
      </c>
      <c r="E69" s="16" t="s">
        <v>25</v>
      </c>
      <c r="F69" s="15"/>
      <c r="G69" s="15">
        <v>8</v>
      </c>
      <c r="H69" s="15" t="s">
        <v>50</v>
      </c>
      <c r="I69" s="16" t="s">
        <v>158</v>
      </c>
      <c r="J69" s="1">
        <f t="shared" si="21"/>
        <v>48</v>
      </c>
      <c r="K69" s="1">
        <f t="shared" si="18"/>
        <v>6</v>
      </c>
      <c r="L69" s="1">
        <f t="shared" si="19"/>
        <v>3</v>
      </c>
      <c r="M69" s="1">
        <f t="shared" si="20"/>
        <v>1.5</v>
      </c>
      <c r="N69" s="1" t="s">
        <v>44</v>
      </c>
      <c r="O69" s="3">
        <v>1</v>
      </c>
      <c r="P69" s="1">
        <v>6</v>
      </c>
      <c r="Q69" s="1">
        <v>0</v>
      </c>
    </row>
    <row r="70" spans="1:17" ht="30" x14ac:dyDescent="0.2">
      <c r="B70" s="15" t="s">
        <v>159</v>
      </c>
      <c r="C70" s="15" t="s">
        <v>160</v>
      </c>
      <c r="D70" s="15">
        <v>8</v>
      </c>
      <c r="E70" s="16" t="s">
        <v>25</v>
      </c>
      <c r="F70" s="15"/>
      <c r="G70" s="15">
        <v>7</v>
      </c>
      <c r="H70" s="15" t="s">
        <v>145</v>
      </c>
      <c r="I70" s="16" t="s">
        <v>161</v>
      </c>
      <c r="J70" s="1">
        <f t="shared" si="21"/>
        <v>56</v>
      </c>
      <c r="K70" s="1">
        <f t="shared" si="18"/>
        <v>7</v>
      </c>
      <c r="L70" s="1">
        <f t="shared" si="19"/>
        <v>3.5</v>
      </c>
      <c r="M70" s="1">
        <f t="shared" si="20"/>
        <v>1.75</v>
      </c>
      <c r="N70" s="1" t="s">
        <v>52</v>
      </c>
      <c r="O70" s="3">
        <v>3</v>
      </c>
      <c r="P70" s="1">
        <v>8</v>
      </c>
      <c r="Q70" s="1">
        <v>0</v>
      </c>
    </row>
    <row r="71" spans="1:17" x14ac:dyDescent="0.2">
      <c r="B71" s="15" t="s">
        <v>162</v>
      </c>
      <c r="C71" s="15" t="s">
        <v>163</v>
      </c>
      <c r="D71" s="15">
        <v>8</v>
      </c>
      <c r="E71" s="16" t="s">
        <v>25</v>
      </c>
      <c r="F71" s="15"/>
      <c r="G71" s="15">
        <v>7</v>
      </c>
      <c r="H71" s="15" t="s">
        <v>145</v>
      </c>
      <c r="I71" s="16" t="s">
        <v>164</v>
      </c>
      <c r="J71" s="1">
        <f t="shared" si="21"/>
        <v>64</v>
      </c>
      <c r="K71" s="1">
        <f t="shared" si="18"/>
        <v>8</v>
      </c>
      <c r="L71" s="1">
        <f t="shared" si="19"/>
        <v>4</v>
      </c>
      <c r="M71" s="1">
        <f t="shared" si="20"/>
        <v>2</v>
      </c>
      <c r="N71" s="1" t="s">
        <v>52</v>
      </c>
      <c r="O71" s="3">
        <v>3</v>
      </c>
      <c r="P71" s="1">
        <v>9</v>
      </c>
      <c r="Q71" s="1">
        <v>0</v>
      </c>
    </row>
    <row r="72" spans="1:17" x14ac:dyDescent="0.2">
      <c r="B72" s="15" t="s">
        <v>165</v>
      </c>
      <c r="C72" s="15" t="s">
        <v>166</v>
      </c>
      <c r="D72" s="15">
        <v>8</v>
      </c>
      <c r="E72" s="16" t="s">
        <v>25</v>
      </c>
      <c r="F72" s="15"/>
      <c r="G72" s="15">
        <v>7</v>
      </c>
      <c r="H72" s="15" t="s">
        <v>145</v>
      </c>
      <c r="I72" s="16" t="s">
        <v>167</v>
      </c>
      <c r="J72" s="1">
        <f t="shared" si="21"/>
        <v>72</v>
      </c>
      <c r="K72" s="1">
        <f t="shared" si="18"/>
        <v>9</v>
      </c>
      <c r="L72" s="1">
        <f t="shared" si="19"/>
        <v>4.5</v>
      </c>
      <c r="M72" s="1">
        <f t="shared" si="20"/>
        <v>2.25</v>
      </c>
      <c r="N72" s="1" t="s">
        <v>52</v>
      </c>
      <c r="O72" s="3">
        <v>3</v>
      </c>
      <c r="P72" s="1">
        <v>10</v>
      </c>
      <c r="Q72" s="1">
        <v>0</v>
      </c>
    </row>
    <row r="73" spans="1:17" x14ac:dyDescent="0.2">
      <c r="B73" s="20" t="s">
        <v>168</v>
      </c>
      <c r="C73" s="20" t="s">
        <v>169</v>
      </c>
      <c r="D73" s="20">
        <v>8</v>
      </c>
      <c r="E73" s="16" t="s">
        <v>64</v>
      </c>
      <c r="F73" s="16"/>
      <c r="G73" s="15">
        <v>2</v>
      </c>
      <c r="H73" s="15" t="s">
        <v>34</v>
      </c>
      <c r="I73" s="16" t="s">
        <v>170</v>
      </c>
      <c r="J73" s="1">
        <f t="shared" si="21"/>
        <v>80</v>
      </c>
      <c r="K73" s="1">
        <f t="shared" si="18"/>
        <v>10</v>
      </c>
      <c r="L73" s="1">
        <f t="shared" si="19"/>
        <v>5</v>
      </c>
      <c r="M73" s="1">
        <f t="shared" si="20"/>
        <v>2.5</v>
      </c>
      <c r="N73" s="1" t="s">
        <v>44</v>
      </c>
      <c r="O73" s="3">
        <v>1</v>
      </c>
      <c r="P73" s="1">
        <v>10</v>
      </c>
      <c r="Q73" s="1">
        <v>0</v>
      </c>
    </row>
    <row r="74" spans="1:17" ht="30" x14ac:dyDescent="0.2">
      <c r="B74" s="20" t="s">
        <v>171</v>
      </c>
      <c r="C74" s="20" t="s">
        <v>172</v>
      </c>
      <c r="D74" s="20">
        <v>8</v>
      </c>
      <c r="E74" s="16" t="s">
        <v>25</v>
      </c>
      <c r="F74" s="16"/>
      <c r="G74" s="15">
        <v>2</v>
      </c>
      <c r="H74" s="15" t="s">
        <v>34</v>
      </c>
      <c r="I74" s="16" t="s">
        <v>173</v>
      </c>
      <c r="J74" s="1">
        <f t="shared" si="21"/>
        <v>88</v>
      </c>
      <c r="K74" s="1">
        <f t="shared" si="18"/>
        <v>11</v>
      </c>
      <c r="L74" s="1">
        <f t="shared" si="19"/>
        <v>5.5</v>
      </c>
      <c r="M74" s="1">
        <f t="shared" si="20"/>
        <v>2.75</v>
      </c>
      <c r="N74" s="1" t="s">
        <v>44</v>
      </c>
      <c r="O74" s="3">
        <v>1</v>
      </c>
      <c r="P74" s="1">
        <v>8</v>
      </c>
      <c r="Q74" s="1">
        <v>0</v>
      </c>
    </row>
    <row r="75" spans="1:17" x14ac:dyDescent="0.2">
      <c r="B75" s="20" t="s">
        <v>174</v>
      </c>
      <c r="C75" s="20" t="s">
        <v>175</v>
      </c>
      <c r="D75" s="20">
        <v>32</v>
      </c>
      <c r="E75" s="16" t="s">
        <v>25</v>
      </c>
      <c r="F75" s="16"/>
      <c r="G75" s="15">
        <v>0</v>
      </c>
      <c r="H75" s="15" t="s">
        <v>34</v>
      </c>
      <c r="I75" s="20" t="s">
        <v>176</v>
      </c>
      <c r="J75" s="1">
        <f t="shared" si="21"/>
        <v>96</v>
      </c>
      <c r="K75" s="1">
        <f t="shared" si="18"/>
        <v>12</v>
      </c>
      <c r="L75" s="1">
        <f t="shared" si="19"/>
        <v>6</v>
      </c>
      <c r="M75" s="1">
        <f t="shared" si="20"/>
        <v>3</v>
      </c>
      <c r="N75" s="1" t="s">
        <v>44</v>
      </c>
      <c r="O75" s="3">
        <v>1</v>
      </c>
      <c r="P75" s="1">
        <v>9</v>
      </c>
      <c r="Q75" s="1">
        <v>0</v>
      </c>
    </row>
    <row r="76" spans="1:17" x14ac:dyDescent="0.2">
      <c r="B76" s="20" t="s">
        <v>177</v>
      </c>
      <c r="C76" s="20" t="s">
        <v>178</v>
      </c>
      <c r="D76" s="20">
        <v>8</v>
      </c>
      <c r="E76" s="16" t="s">
        <v>64</v>
      </c>
      <c r="F76" s="16"/>
      <c r="G76" s="15">
        <v>0</v>
      </c>
      <c r="H76" s="15" t="s">
        <v>34</v>
      </c>
      <c r="I76" s="16" t="s">
        <v>179</v>
      </c>
      <c r="J76" s="1">
        <f t="shared" si="21"/>
        <v>128</v>
      </c>
      <c r="K76" s="1">
        <f t="shared" si="18"/>
        <v>16</v>
      </c>
      <c r="L76" s="1">
        <f t="shared" si="19"/>
        <v>8</v>
      </c>
      <c r="M76" s="1">
        <f t="shared" si="20"/>
        <v>4</v>
      </c>
      <c r="N76" s="1" t="s">
        <v>106</v>
      </c>
      <c r="O76" s="3">
        <v>2</v>
      </c>
      <c r="P76" s="1">
        <v>4</v>
      </c>
      <c r="Q76" s="1">
        <v>0</v>
      </c>
    </row>
    <row r="77" spans="1:17" x14ac:dyDescent="0.2">
      <c r="B77" s="20" t="s">
        <v>180</v>
      </c>
      <c r="C77" s="20" t="s">
        <v>181</v>
      </c>
      <c r="D77" s="20">
        <v>8</v>
      </c>
      <c r="E77" s="16" t="s">
        <v>64</v>
      </c>
      <c r="F77" s="16"/>
      <c r="G77" s="15">
        <v>0</v>
      </c>
      <c r="H77" s="15" t="s">
        <v>34</v>
      </c>
      <c r="I77" s="16" t="s">
        <v>182</v>
      </c>
      <c r="J77" s="1">
        <f t="shared" si="21"/>
        <v>136</v>
      </c>
      <c r="K77" s="1">
        <f t="shared" si="18"/>
        <v>17</v>
      </c>
      <c r="L77" s="1">
        <f t="shared" si="19"/>
        <v>8.5</v>
      </c>
      <c r="M77" s="1">
        <f t="shared" si="20"/>
        <v>4.25</v>
      </c>
      <c r="N77" s="1" t="s">
        <v>106</v>
      </c>
      <c r="O77" s="3">
        <v>2</v>
      </c>
      <c r="P77" s="1">
        <v>5</v>
      </c>
      <c r="Q77" s="1">
        <v>0</v>
      </c>
    </row>
    <row r="78" spans="1:17" x14ac:dyDescent="0.2">
      <c r="B78" s="20" t="s">
        <v>183</v>
      </c>
      <c r="C78" s="20" t="s">
        <v>184</v>
      </c>
      <c r="D78" s="20">
        <v>8</v>
      </c>
      <c r="E78" s="16" t="s">
        <v>64</v>
      </c>
      <c r="F78" s="16"/>
      <c r="G78" s="15">
        <v>0</v>
      </c>
      <c r="H78" s="15" t="s">
        <v>34</v>
      </c>
      <c r="I78" s="16" t="s">
        <v>185</v>
      </c>
      <c r="J78" s="1">
        <f t="shared" si="21"/>
        <v>144</v>
      </c>
      <c r="K78" s="1">
        <f t="shared" si="18"/>
        <v>18</v>
      </c>
      <c r="L78" s="1">
        <f t="shared" si="19"/>
        <v>9</v>
      </c>
      <c r="M78" s="1">
        <f t="shared" si="20"/>
        <v>4.5</v>
      </c>
      <c r="N78" s="1" t="s">
        <v>106</v>
      </c>
      <c r="O78" s="3">
        <v>2</v>
      </c>
      <c r="P78" s="1">
        <v>6</v>
      </c>
      <c r="Q78" s="1">
        <v>0</v>
      </c>
    </row>
    <row r="79" spans="1:17" x14ac:dyDescent="0.2">
      <c r="B79" s="20" t="s">
        <v>186</v>
      </c>
      <c r="C79" s="20" t="s">
        <v>187</v>
      </c>
      <c r="D79" s="20">
        <v>8</v>
      </c>
      <c r="E79" s="16" t="s">
        <v>64</v>
      </c>
      <c r="F79" s="16"/>
      <c r="G79" s="15">
        <v>0</v>
      </c>
      <c r="H79" s="15" t="s">
        <v>34</v>
      </c>
      <c r="I79" s="16" t="s">
        <v>188</v>
      </c>
      <c r="J79" s="1">
        <f t="shared" si="21"/>
        <v>152</v>
      </c>
      <c r="K79" s="1">
        <f t="shared" si="18"/>
        <v>19</v>
      </c>
      <c r="L79" s="1">
        <f t="shared" si="19"/>
        <v>9.5</v>
      </c>
      <c r="M79" s="1">
        <f t="shared" si="20"/>
        <v>4.75</v>
      </c>
      <c r="N79" s="1" t="s">
        <v>106</v>
      </c>
      <c r="O79" s="3">
        <v>2</v>
      </c>
      <c r="P79" s="1">
        <v>7</v>
      </c>
      <c r="Q79" s="1">
        <v>0</v>
      </c>
    </row>
    <row r="80" spans="1:17" s="10" customFormat="1" ht="27.75" customHeight="1" x14ac:dyDescent="0.25">
      <c r="A80" s="10" t="s">
        <v>45</v>
      </c>
      <c r="B80" s="22"/>
      <c r="C80" s="23"/>
      <c r="D80" s="24"/>
      <c r="E80" s="24"/>
      <c r="F80" s="24"/>
      <c r="G80" s="24"/>
      <c r="H80" s="23"/>
      <c r="I80" s="24" t="s">
        <v>189</v>
      </c>
      <c r="J80" s="1">
        <f t="shared" si="21"/>
        <v>160</v>
      </c>
      <c r="K80" s="1">
        <f t="shared" si="18"/>
        <v>20</v>
      </c>
      <c r="L80" s="1">
        <f t="shared" si="19"/>
        <v>10</v>
      </c>
      <c r="M80" s="1">
        <f t="shared" si="20"/>
        <v>5</v>
      </c>
      <c r="O80" s="14"/>
    </row>
    <row r="81" spans="1:17" x14ac:dyDescent="0.2">
      <c r="B81" s="17"/>
    </row>
    <row r="82" spans="1:17" x14ac:dyDescent="0.2">
      <c r="A82" s="1" t="s">
        <v>0</v>
      </c>
    </row>
    <row r="83" spans="1:17" x14ac:dyDescent="0.2">
      <c r="A83" s="1" t="s">
        <v>190</v>
      </c>
      <c r="B83" s="20"/>
      <c r="C83" s="20"/>
      <c r="D83" s="20"/>
      <c r="E83" s="16"/>
      <c r="F83" s="16"/>
      <c r="G83" s="16"/>
      <c r="H83" s="16"/>
      <c r="I83" s="16"/>
      <c r="J83" s="19"/>
      <c r="K83" s="19"/>
      <c r="L83" s="19"/>
      <c r="M83" s="19"/>
    </row>
    <row r="84" spans="1:17" x14ac:dyDescent="0.2">
      <c r="B84" s="20" t="s">
        <v>137</v>
      </c>
      <c r="C84" s="20" t="s">
        <v>191</v>
      </c>
      <c r="D84" s="20">
        <v>32</v>
      </c>
      <c r="E84" s="16" t="s">
        <v>64</v>
      </c>
      <c r="F84" s="16"/>
      <c r="G84" s="16">
        <v>0</v>
      </c>
      <c r="H84" s="15" t="s">
        <v>34</v>
      </c>
      <c r="I84" s="16" t="s">
        <v>137</v>
      </c>
      <c r="J84" s="19">
        <v>0</v>
      </c>
      <c r="K84" s="19">
        <f>J84/8</f>
        <v>0</v>
      </c>
      <c r="L84" s="19">
        <f>J84/16</f>
        <v>0</v>
      </c>
      <c r="M84" s="19">
        <f>J84/32</f>
        <v>0</v>
      </c>
      <c r="N84" s="1" t="s">
        <v>28</v>
      </c>
      <c r="O84" s="3">
        <v>0</v>
      </c>
      <c r="P84" s="1">
        <v>0</v>
      </c>
      <c r="Q84" s="1">
        <v>0</v>
      </c>
    </row>
    <row r="85" spans="1:17" s="10" customFormat="1" ht="15.75" x14ac:dyDescent="0.25">
      <c r="A85" s="10" t="s">
        <v>45</v>
      </c>
      <c r="B85" s="22"/>
      <c r="C85" s="23"/>
      <c r="D85" s="24"/>
      <c r="E85" s="24"/>
      <c r="F85" s="24"/>
      <c r="G85" s="24"/>
      <c r="H85" s="23"/>
      <c r="I85" s="24" t="s">
        <v>189</v>
      </c>
      <c r="J85" s="1">
        <f>J84+D84</f>
        <v>32</v>
      </c>
      <c r="K85" s="1">
        <f>J85/8</f>
        <v>4</v>
      </c>
      <c r="L85" s="1">
        <f>J85/16</f>
        <v>2</v>
      </c>
      <c r="M85" s="1">
        <f>J85/32</f>
        <v>1</v>
      </c>
      <c r="O85" s="14"/>
    </row>
    <row r="86" spans="1:17" s="10" customFormat="1" ht="15.75" x14ac:dyDescent="0.25">
      <c r="B86" s="22"/>
      <c r="C86" s="23"/>
      <c r="D86" s="24"/>
      <c r="E86" s="24"/>
      <c r="F86" s="24"/>
      <c r="G86" s="24"/>
      <c r="H86" s="23"/>
      <c r="I86" s="24"/>
      <c r="J86" s="19"/>
      <c r="K86" s="19"/>
      <c r="L86" s="19"/>
      <c r="M86" s="19"/>
      <c r="O86" s="14"/>
    </row>
    <row r="87" spans="1:17" x14ac:dyDescent="0.2">
      <c r="A87" s="1" t="s">
        <v>192</v>
      </c>
      <c r="B87" s="17"/>
    </row>
    <row r="88" spans="1:17" x14ac:dyDescent="0.2">
      <c r="B88" s="20" t="s">
        <v>193</v>
      </c>
      <c r="C88" s="20" t="s">
        <v>194</v>
      </c>
      <c r="D88" s="18">
        <v>32</v>
      </c>
      <c r="E88" s="21" t="s">
        <v>195</v>
      </c>
      <c r="F88" s="16"/>
      <c r="G88" s="15">
        <v>0</v>
      </c>
      <c r="H88" s="3" t="s">
        <v>196</v>
      </c>
      <c r="I88" s="19" t="s">
        <v>197</v>
      </c>
      <c r="J88" s="19">
        <v>0</v>
      </c>
      <c r="K88" s="19">
        <f>J88/8</f>
        <v>0</v>
      </c>
      <c r="L88" s="19">
        <f>J88/16</f>
        <v>0</v>
      </c>
      <c r="M88" s="19">
        <f>J88/32</f>
        <v>0</v>
      </c>
      <c r="N88" s="1" t="s">
        <v>28</v>
      </c>
      <c r="O88" s="3">
        <v>0</v>
      </c>
      <c r="P88" s="1">
        <v>0</v>
      </c>
      <c r="Q88" s="1">
        <v>0</v>
      </c>
    </row>
    <row r="89" spans="1:17" x14ac:dyDescent="0.2">
      <c r="B89" s="20" t="s">
        <v>198</v>
      </c>
      <c r="C89" s="20" t="s">
        <v>199</v>
      </c>
      <c r="D89" s="18">
        <v>16</v>
      </c>
      <c r="E89" s="21" t="s">
        <v>25</v>
      </c>
      <c r="F89" s="16"/>
      <c r="G89" s="15">
        <v>0</v>
      </c>
      <c r="I89" s="19" t="s">
        <v>200</v>
      </c>
      <c r="J89" s="1">
        <f>J88+D88</f>
        <v>32</v>
      </c>
      <c r="K89" s="1">
        <f>J89/8</f>
        <v>4</v>
      </c>
      <c r="L89" s="1">
        <f>J89/16</f>
        <v>2</v>
      </c>
      <c r="M89" s="1">
        <f>J89/32</f>
        <v>1</v>
      </c>
      <c r="N89" s="1" t="s">
        <v>28</v>
      </c>
      <c r="O89" s="3">
        <v>0</v>
      </c>
      <c r="P89" s="1">
        <v>0</v>
      </c>
      <c r="Q89" s="1">
        <v>0</v>
      </c>
    </row>
    <row r="90" spans="1:17" x14ac:dyDescent="0.2">
      <c r="B90" s="20" t="s">
        <v>201</v>
      </c>
      <c r="C90" s="20" t="s">
        <v>202</v>
      </c>
      <c r="D90" s="18">
        <v>8</v>
      </c>
      <c r="E90" s="21" t="s">
        <v>195</v>
      </c>
      <c r="F90" s="16"/>
      <c r="G90" s="15">
        <v>0</v>
      </c>
      <c r="H90" s="15" t="s">
        <v>34</v>
      </c>
      <c r="I90" s="19" t="s">
        <v>203</v>
      </c>
      <c r="J90" s="1">
        <f>J89+D89</f>
        <v>48</v>
      </c>
      <c r="K90" s="1">
        <f>J90/8</f>
        <v>6</v>
      </c>
      <c r="L90" s="1">
        <f>J90/16</f>
        <v>3</v>
      </c>
      <c r="M90" s="1">
        <f>J90/32</f>
        <v>1.5</v>
      </c>
      <c r="N90" s="1" t="s">
        <v>28</v>
      </c>
      <c r="O90" s="3">
        <v>0</v>
      </c>
      <c r="P90" s="1">
        <v>0</v>
      </c>
      <c r="Q90" s="1">
        <v>0</v>
      </c>
    </row>
    <row r="91" spans="1:17" x14ac:dyDescent="0.2">
      <c r="B91" s="20" t="s">
        <v>113</v>
      </c>
      <c r="C91" s="20" t="s">
        <v>204</v>
      </c>
      <c r="D91" s="18">
        <v>8</v>
      </c>
      <c r="E91" s="21"/>
      <c r="F91" s="16"/>
      <c r="G91" s="15">
        <v>0</v>
      </c>
      <c r="H91" s="15" t="s">
        <v>34</v>
      </c>
      <c r="I91" s="19" t="s">
        <v>115</v>
      </c>
      <c r="J91" s="1">
        <f>J90+D90</f>
        <v>56</v>
      </c>
      <c r="K91" s="1">
        <f>J91/8</f>
        <v>7</v>
      </c>
      <c r="L91" s="1">
        <f>J91/16</f>
        <v>3.5</v>
      </c>
      <c r="M91" s="1">
        <f>J91/32</f>
        <v>1.75</v>
      </c>
      <c r="N91" s="1" t="s">
        <v>28</v>
      </c>
      <c r="O91" s="3">
        <v>0</v>
      </c>
      <c r="P91" s="1">
        <v>0</v>
      </c>
      <c r="Q91" s="1">
        <v>0</v>
      </c>
    </row>
    <row r="92" spans="1:17" ht="15.75" x14ac:dyDescent="0.25">
      <c r="A92" s="1" t="s">
        <v>45</v>
      </c>
      <c r="B92" s="17"/>
      <c r="C92" s="23"/>
      <c r="D92" s="24"/>
      <c r="E92" s="24"/>
      <c r="F92" s="24"/>
      <c r="G92" s="24"/>
      <c r="H92" s="23"/>
      <c r="I92" s="24" t="s">
        <v>189</v>
      </c>
      <c r="J92" s="1">
        <f>J91+D91</f>
        <v>64</v>
      </c>
      <c r="K92" s="1">
        <f>J92/8</f>
        <v>8</v>
      </c>
      <c r="L92" s="1">
        <f>J92/16</f>
        <v>4</v>
      </c>
      <c r="M92" s="1">
        <f>J92/32</f>
        <v>2</v>
      </c>
    </row>
    <row r="93" spans="1:17" x14ac:dyDescent="0.2">
      <c r="B93" s="17"/>
    </row>
    <row r="94" spans="1:17" x14ac:dyDescent="0.2">
      <c r="B94" s="17"/>
    </row>
    <row r="95" spans="1:17" x14ac:dyDescent="0.2">
      <c r="A95" s="1" t="s">
        <v>205</v>
      </c>
      <c r="B95" s="17"/>
    </row>
    <row r="96" spans="1:17" x14ac:dyDescent="0.2">
      <c r="B96" s="20" t="s">
        <v>206</v>
      </c>
      <c r="C96" s="20" t="s">
        <v>207</v>
      </c>
      <c r="D96" s="18">
        <v>32</v>
      </c>
      <c r="E96" s="21"/>
      <c r="F96" s="16"/>
      <c r="G96" s="15">
        <v>0</v>
      </c>
      <c r="H96" s="3" t="s">
        <v>196</v>
      </c>
      <c r="I96" s="19" t="s">
        <v>197</v>
      </c>
      <c r="J96" s="19">
        <v>0</v>
      </c>
      <c r="K96" s="19">
        <f t="shared" ref="K96:K102" si="22">J96/8</f>
        <v>0</v>
      </c>
      <c r="L96" s="19">
        <f t="shared" ref="L96:L102" si="23">J96/16</f>
        <v>0</v>
      </c>
      <c r="M96" s="19">
        <f t="shared" ref="M96:M102" si="24">J96/32</f>
        <v>0</v>
      </c>
      <c r="N96" s="1" t="s">
        <v>28</v>
      </c>
      <c r="O96" s="3">
        <v>0</v>
      </c>
      <c r="P96" s="1">
        <v>0</v>
      </c>
      <c r="Q96" s="1">
        <v>0</v>
      </c>
    </row>
    <row r="97" spans="1:17" x14ac:dyDescent="0.2">
      <c r="B97" s="20" t="s">
        <v>208</v>
      </c>
      <c r="C97" s="20" t="s">
        <v>209</v>
      </c>
      <c r="D97" s="18">
        <v>16</v>
      </c>
      <c r="E97" s="21" t="s">
        <v>25</v>
      </c>
      <c r="F97" s="16"/>
      <c r="G97" s="15">
        <v>0</v>
      </c>
      <c r="I97" s="19" t="s">
        <v>200</v>
      </c>
      <c r="J97" s="1">
        <f t="shared" ref="J97:J102" si="25">J96+D96</f>
        <v>32</v>
      </c>
      <c r="K97" s="1">
        <f t="shared" si="22"/>
        <v>4</v>
      </c>
      <c r="L97" s="1">
        <f t="shared" si="23"/>
        <v>2</v>
      </c>
      <c r="M97" s="1">
        <f t="shared" si="24"/>
        <v>1</v>
      </c>
      <c r="N97" s="1" t="s">
        <v>28</v>
      </c>
      <c r="O97" s="3">
        <v>0</v>
      </c>
      <c r="P97" s="1">
        <v>0</v>
      </c>
      <c r="Q97" s="1">
        <v>0</v>
      </c>
    </row>
    <row r="98" spans="1:17" x14ac:dyDescent="0.2">
      <c r="B98" s="20" t="s">
        <v>210</v>
      </c>
      <c r="C98" s="20" t="s">
        <v>211</v>
      </c>
      <c r="D98" s="18">
        <v>16</v>
      </c>
      <c r="E98" s="21"/>
      <c r="F98" s="16"/>
      <c r="G98" s="15">
        <v>0</v>
      </c>
      <c r="I98" s="19" t="s">
        <v>212</v>
      </c>
      <c r="J98" s="1">
        <f t="shared" si="25"/>
        <v>48</v>
      </c>
      <c r="K98" s="1">
        <f t="shared" si="22"/>
        <v>6</v>
      </c>
      <c r="L98" s="1">
        <f t="shared" si="23"/>
        <v>3</v>
      </c>
      <c r="M98" s="1">
        <f t="shared" si="24"/>
        <v>1.5</v>
      </c>
      <c r="N98" s="1" t="s">
        <v>28</v>
      </c>
      <c r="O98" s="3">
        <v>0</v>
      </c>
      <c r="P98" s="1">
        <v>0</v>
      </c>
      <c r="Q98" s="1">
        <v>0</v>
      </c>
    </row>
    <row r="99" spans="1:17" x14ac:dyDescent="0.2">
      <c r="B99" s="20" t="s">
        <v>213</v>
      </c>
      <c r="C99" s="20" t="s">
        <v>214</v>
      </c>
      <c r="D99" s="18">
        <v>32</v>
      </c>
      <c r="E99" s="21"/>
      <c r="F99" s="16"/>
      <c r="G99" s="15">
        <v>0</v>
      </c>
      <c r="I99" s="19" t="s">
        <v>215</v>
      </c>
      <c r="J99" s="1">
        <f t="shared" si="25"/>
        <v>64</v>
      </c>
      <c r="K99" s="1">
        <f t="shared" si="22"/>
        <v>8</v>
      </c>
      <c r="L99" s="1">
        <f t="shared" si="23"/>
        <v>4</v>
      </c>
      <c r="M99" s="1">
        <f t="shared" si="24"/>
        <v>2</v>
      </c>
      <c r="N99" s="1" t="s">
        <v>28</v>
      </c>
      <c r="O99" s="3">
        <v>0</v>
      </c>
      <c r="P99" s="1">
        <v>0</v>
      </c>
      <c r="Q99" s="1">
        <v>0</v>
      </c>
    </row>
    <row r="100" spans="1:17" x14ac:dyDescent="0.2">
      <c r="B100" s="20" t="s">
        <v>216</v>
      </c>
      <c r="C100" s="20" t="s">
        <v>217</v>
      </c>
      <c r="D100" s="18">
        <v>8</v>
      </c>
      <c r="E100" s="21" t="s">
        <v>195</v>
      </c>
      <c r="F100" s="16"/>
      <c r="G100" s="15">
        <v>0</v>
      </c>
      <c r="H100" s="15" t="s">
        <v>34</v>
      </c>
      <c r="I100" s="19" t="s">
        <v>218</v>
      </c>
      <c r="J100" s="1">
        <f t="shared" si="25"/>
        <v>96</v>
      </c>
      <c r="K100" s="1">
        <f t="shared" si="22"/>
        <v>12</v>
      </c>
      <c r="L100" s="1">
        <f t="shared" si="23"/>
        <v>6</v>
      </c>
      <c r="M100" s="1">
        <f t="shared" si="24"/>
        <v>3</v>
      </c>
      <c r="N100" s="1" t="s">
        <v>28</v>
      </c>
      <c r="O100" s="3">
        <v>0</v>
      </c>
      <c r="P100" s="1">
        <v>0</v>
      </c>
      <c r="Q100" s="1">
        <v>0</v>
      </c>
    </row>
    <row r="101" spans="1:17" x14ac:dyDescent="0.2">
      <c r="B101" s="20" t="s">
        <v>113</v>
      </c>
      <c r="C101" s="20" t="s">
        <v>219</v>
      </c>
      <c r="D101" s="18">
        <v>24</v>
      </c>
      <c r="E101" s="21" t="s">
        <v>64</v>
      </c>
      <c r="F101" s="16"/>
      <c r="G101" s="15">
        <v>0</v>
      </c>
      <c r="H101" s="15" t="s">
        <v>34</v>
      </c>
      <c r="I101" s="19"/>
      <c r="J101" s="1">
        <f t="shared" si="25"/>
        <v>104</v>
      </c>
      <c r="K101" s="1">
        <f t="shared" si="22"/>
        <v>13</v>
      </c>
      <c r="L101" s="1">
        <f t="shared" si="23"/>
        <v>6.5</v>
      </c>
      <c r="M101" s="1">
        <f t="shared" si="24"/>
        <v>3.25</v>
      </c>
      <c r="N101" s="1" t="s">
        <v>28</v>
      </c>
      <c r="O101" s="3">
        <v>0</v>
      </c>
      <c r="P101" s="1">
        <v>0</v>
      </c>
      <c r="Q101" s="1">
        <v>0</v>
      </c>
    </row>
    <row r="102" spans="1:17" ht="15.75" x14ac:dyDescent="0.25">
      <c r="A102" s="1" t="s">
        <v>45</v>
      </c>
      <c r="B102" s="22"/>
      <c r="C102" s="23"/>
      <c r="D102" s="24"/>
      <c r="E102" s="24"/>
      <c r="F102" s="24"/>
      <c r="G102" s="24"/>
      <c r="H102" s="23"/>
      <c r="I102" s="24" t="s">
        <v>189</v>
      </c>
      <c r="J102" s="1">
        <f t="shared" si="25"/>
        <v>128</v>
      </c>
      <c r="K102" s="1">
        <f t="shared" si="22"/>
        <v>16</v>
      </c>
      <c r="L102" s="1">
        <f t="shared" si="23"/>
        <v>8</v>
      </c>
      <c r="M102" s="1">
        <f t="shared" si="24"/>
        <v>4</v>
      </c>
    </row>
    <row r="103" spans="1:17" x14ac:dyDescent="0.2">
      <c r="B103" s="17"/>
    </row>
    <row r="104" spans="1:17" x14ac:dyDescent="0.2">
      <c r="B104" s="17"/>
    </row>
    <row r="105" spans="1:17" x14ac:dyDescent="0.2">
      <c r="A105" s="1" t="s">
        <v>0</v>
      </c>
      <c r="B105" s="17"/>
    </row>
    <row r="106" spans="1:17" x14ac:dyDescent="0.2">
      <c r="A106" s="1" t="s">
        <v>220</v>
      </c>
      <c r="B106" s="17"/>
    </row>
    <row r="107" spans="1:17" x14ac:dyDescent="0.2">
      <c r="B107" s="20" t="s">
        <v>221</v>
      </c>
      <c r="C107" s="20" t="s">
        <v>222</v>
      </c>
      <c r="D107" s="18">
        <v>32</v>
      </c>
      <c r="E107" s="21" t="s">
        <v>25</v>
      </c>
      <c r="F107" s="16"/>
      <c r="G107" s="15">
        <v>0</v>
      </c>
      <c r="H107" s="25" t="s">
        <v>196</v>
      </c>
      <c r="I107" s="19" t="s">
        <v>223</v>
      </c>
      <c r="J107" s="19">
        <v>0</v>
      </c>
      <c r="K107" s="19">
        <f>J107/8</f>
        <v>0</v>
      </c>
      <c r="L107" s="19">
        <f>J107/16</f>
        <v>0</v>
      </c>
      <c r="M107" s="19">
        <f>J107/32</f>
        <v>0</v>
      </c>
      <c r="N107" s="1" t="s">
        <v>44</v>
      </c>
      <c r="O107" s="3">
        <v>1</v>
      </c>
      <c r="P107" s="1">
        <v>11</v>
      </c>
      <c r="Q107" s="1">
        <v>0</v>
      </c>
    </row>
    <row r="108" spans="1:17" x14ac:dyDescent="0.2">
      <c r="B108" s="20" t="s">
        <v>224</v>
      </c>
      <c r="C108" s="20" t="s">
        <v>225</v>
      </c>
      <c r="D108" s="18">
        <v>16</v>
      </c>
      <c r="E108" s="21" t="s">
        <v>25</v>
      </c>
      <c r="F108" s="16"/>
      <c r="G108" s="15">
        <v>0</v>
      </c>
      <c r="H108" s="25" t="s">
        <v>34</v>
      </c>
      <c r="I108" s="19" t="s">
        <v>223</v>
      </c>
      <c r="J108" s="1">
        <f>J107+D107</f>
        <v>32</v>
      </c>
      <c r="K108" s="1">
        <f>J108/8</f>
        <v>4</v>
      </c>
      <c r="L108" s="1">
        <f>J108/16</f>
        <v>2</v>
      </c>
      <c r="M108" s="1">
        <f>J108/32</f>
        <v>1</v>
      </c>
      <c r="N108" s="1" t="s">
        <v>44</v>
      </c>
      <c r="O108" s="3">
        <v>1</v>
      </c>
      <c r="P108" s="1">
        <v>12</v>
      </c>
      <c r="Q108" s="1">
        <v>0</v>
      </c>
    </row>
    <row r="109" spans="1:17" x14ac:dyDescent="0.2">
      <c r="B109" s="20" t="s">
        <v>226</v>
      </c>
      <c r="C109" s="20" t="s">
        <v>227</v>
      </c>
      <c r="D109" s="18">
        <v>8</v>
      </c>
      <c r="E109" s="21" t="s">
        <v>25</v>
      </c>
      <c r="F109" s="16"/>
      <c r="G109" s="15">
        <v>0</v>
      </c>
      <c r="H109" s="15" t="s">
        <v>34</v>
      </c>
      <c r="I109" s="19" t="s">
        <v>228</v>
      </c>
      <c r="J109" s="1">
        <f>J108+D108</f>
        <v>48</v>
      </c>
      <c r="K109" s="1">
        <f>J109/8</f>
        <v>6</v>
      </c>
      <c r="L109" s="1">
        <f>J109/16</f>
        <v>3</v>
      </c>
      <c r="M109" s="1">
        <f>J109/32</f>
        <v>1.5</v>
      </c>
      <c r="N109" s="1" t="s">
        <v>44</v>
      </c>
      <c r="O109" s="3">
        <v>1</v>
      </c>
      <c r="P109" s="1">
        <v>13</v>
      </c>
      <c r="Q109" s="1">
        <v>0</v>
      </c>
    </row>
    <row r="110" spans="1:17" x14ac:dyDescent="0.2">
      <c r="B110" s="20" t="s">
        <v>113</v>
      </c>
      <c r="C110" s="20" t="s">
        <v>229</v>
      </c>
      <c r="D110" s="18">
        <v>8</v>
      </c>
      <c r="E110" s="21" t="s">
        <v>64</v>
      </c>
      <c r="F110" s="16"/>
      <c r="G110" s="15">
        <v>0</v>
      </c>
      <c r="H110" s="15" t="s">
        <v>34</v>
      </c>
      <c r="I110" s="19" t="s">
        <v>137</v>
      </c>
      <c r="J110" s="1">
        <f>J109+D109</f>
        <v>56</v>
      </c>
      <c r="K110" s="1">
        <f>J110/8</f>
        <v>7</v>
      </c>
      <c r="L110" s="1">
        <f>J110/16</f>
        <v>3.5</v>
      </c>
      <c r="M110" s="1">
        <f>J110/32</f>
        <v>1.75</v>
      </c>
      <c r="N110" s="1" t="s">
        <v>28</v>
      </c>
      <c r="O110" s="3">
        <v>0</v>
      </c>
      <c r="P110" s="1">
        <v>0</v>
      </c>
      <c r="Q110" s="1">
        <v>0</v>
      </c>
    </row>
    <row r="111" spans="1:17" x14ac:dyDescent="0.2">
      <c r="A111" s="1" t="s">
        <v>45</v>
      </c>
      <c r="B111" s="20"/>
      <c r="I111" s="1" t="s">
        <v>116</v>
      </c>
      <c r="J111" s="1">
        <f>J110+D110</f>
        <v>64</v>
      </c>
      <c r="K111" s="1">
        <f>J111/8</f>
        <v>8</v>
      </c>
      <c r="L111" s="1">
        <f>J111/16</f>
        <v>4</v>
      </c>
      <c r="M111" s="1">
        <f>J111/32</f>
        <v>2</v>
      </c>
    </row>
    <row r="113" spans="1:17" ht="15.75" x14ac:dyDescent="0.25">
      <c r="A113" s="26" t="s">
        <v>230</v>
      </c>
      <c r="J113" s="27"/>
      <c r="K113" s="19"/>
      <c r="L113" s="19"/>
      <c r="M113" s="19"/>
      <c r="N113" s="10" t="s">
        <v>20</v>
      </c>
    </row>
    <row r="114" spans="1:17" s="10" customFormat="1" ht="15.75" x14ac:dyDescent="0.25">
      <c r="A114" s="10" t="s">
        <v>0</v>
      </c>
      <c r="B114" s="11" t="s">
        <v>8</v>
      </c>
      <c r="C114" s="8" t="s">
        <v>9</v>
      </c>
      <c r="D114" s="8" t="s">
        <v>10</v>
      </c>
      <c r="E114" s="8" t="s">
        <v>11</v>
      </c>
      <c r="F114" s="8" t="s">
        <v>12</v>
      </c>
      <c r="G114" s="8" t="s">
        <v>13</v>
      </c>
      <c r="H114" s="8" t="s">
        <v>14</v>
      </c>
      <c r="I114" s="9" t="s">
        <v>15</v>
      </c>
      <c r="J114" s="10" t="s">
        <v>16</v>
      </c>
      <c r="K114" s="10" t="s">
        <v>17</v>
      </c>
      <c r="L114" s="10" t="s">
        <v>18</v>
      </c>
      <c r="M114" s="10" t="s">
        <v>19</v>
      </c>
      <c r="N114" s="1"/>
      <c r="O114" s="14" t="s">
        <v>21</v>
      </c>
      <c r="P114" s="10" t="s">
        <v>22</v>
      </c>
      <c r="Q114" s="10" t="s">
        <v>23</v>
      </c>
    </row>
    <row r="115" spans="1:17" s="28" customFormat="1" ht="15.75" x14ac:dyDescent="0.25">
      <c r="B115" s="15" t="s">
        <v>231</v>
      </c>
      <c r="C115" s="29" t="s">
        <v>232</v>
      </c>
      <c r="D115" s="1">
        <v>9</v>
      </c>
      <c r="E115" s="21" t="s">
        <v>25</v>
      </c>
      <c r="F115" s="30"/>
      <c r="G115" s="21">
        <v>2</v>
      </c>
      <c r="H115" s="21" t="s">
        <v>34</v>
      </c>
      <c r="I115" s="21" t="s">
        <v>233</v>
      </c>
      <c r="J115" s="19">
        <v>0</v>
      </c>
      <c r="K115" s="19">
        <f t="shared" ref="K115:K161" si="26">J115/8</f>
        <v>0</v>
      </c>
      <c r="L115" s="19">
        <f t="shared" ref="L115:L161" si="27">J115/16</f>
        <v>0</v>
      </c>
      <c r="M115" s="19">
        <f t="shared" ref="M115:M161" si="28">J115/32</f>
        <v>0</v>
      </c>
      <c r="N115" s="1" t="s">
        <v>106</v>
      </c>
      <c r="O115" s="3">
        <v>2</v>
      </c>
      <c r="P115" s="1">
        <v>1</v>
      </c>
      <c r="Q115" s="1">
        <v>0</v>
      </c>
    </row>
    <row r="116" spans="1:17" s="28" customFormat="1" ht="15.75" x14ac:dyDescent="0.25">
      <c r="B116" s="15" t="s">
        <v>234</v>
      </c>
      <c r="C116" s="29" t="s">
        <v>235</v>
      </c>
      <c r="D116" s="1">
        <v>5</v>
      </c>
      <c r="E116" s="21" t="s">
        <v>25</v>
      </c>
      <c r="F116" s="30"/>
      <c r="G116" s="21">
        <v>2</v>
      </c>
      <c r="H116" s="21" t="s">
        <v>34</v>
      </c>
      <c r="I116" s="21" t="s">
        <v>233</v>
      </c>
      <c r="J116" s="1">
        <f t="shared" ref="J116:J161" si="29">J115+D115</f>
        <v>9</v>
      </c>
      <c r="K116" s="1">
        <f t="shared" si="26"/>
        <v>1.125</v>
      </c>
      <c r="L116" s="1">
        <f t="shared" si="27"/>
        <v>0.5625</v>
      </c>
      <c r="M116" s="1">
        <f t="shared" si="28"/>
        <v>0.28125</v>
      </c>
      <c r="N116" s="1" t="s">
        <v>106</v>
      </c>
      <c r="O116" s="3">
        <v>2</v>
      </c>
      <c r="P116" s="1">
        <v>2</v>
      </c>
      <c r="Q116" s="1">
        <v>0</v>
      </c>
    </row>
    <row r="117" spans="1:17" s="28" customFormat="1" ht="15.75" x14ac:dyDescent="0.25">
      <c r="B117" s="15" t="s">
        <v>236</v>
      </c>
      <c r="C117" s="29" t="s">
        <v>237</v>
      </c>
      <c r="D117" s="1">
        <v>4</v>
      </c>
      <c r="E117" s="21" t="s">
        <v>25</v>
      </c>
      <c r="F117" s="30"/>
      <c r="G117" s="21">
        <v>2</v>
      </c>
      <c r="H117" s="21" t="s">
        <v>34</v>
      </c>
      <c r="I117" s="21" t="s">
        <v>238</v>
      </c>
      <c r="J117" s="1">
        <f t="shared" si="29"/>
        <v>14</v>
      </c>
      <c r="K117" s="1">
        <f t="shared" si="26"/>
        <v>1.75</v>
      </c>
      <c r="L117" s="1">
        <f t="shared" si="27"/>
        <v>0.875</v>
      </c>
      <c r="M117" s="1">
        <f t="shared" si="28"/>
        <v>0.4375</v>
      </c>
      <c r="N117" s="1" t="s">
        <v>106</v>
      </c>
      <c r="O117" s="3">
        <v>2</v>
      </c>
      <c r="P117" s="1">
        <v>3</v>
      </c>
      <c r="Q117" s="1">
        <v>0</v>
      </c>
    </row>
    <row r="118" spans="1:17" s="28" customFormat="1" ht="15.75" x14ac:dyDescent="0.25">
      <c r="B118" s="15" t="s">
        <v>239</v>
      </c>
      <c r="C118" s="29" t="s">
        <v>240</v>
      </c>
      <c r="D118" s="1">
        <v>4</v>
      </c>
      <c r="E118" s="21" t="s">
        <v>25</v>
      </c>
      <c r="F118" s="30"/>
      <c r="G118" s="21">
        <v>2</v>
      </c>
      <c r="H118" s="21" t="s">
        <v>34</v>
      </c>
      <c r="I118" s="21" t="s">
        <v>241</v>
      </c>
      <c r="J118" s="1">
        <f t="shared" si="29"/>
        <v>18</v>
      </c>
      <c r="K118" s="1">
        <f t="shared" si="26"/>
        <v>2.25</v>
      </c>
      <c r="L118" s="1">
        <f t="shared" si="27"/>
        <v>1.125</v>
      </c>
      <c r="M118" s="1">
        <f t="shared" si="28"/>
        <v>0.5625</v>
      </c>
      <c r="N118" s="1" t="s">
        <v>106</v>
      </c>
      <c r="O118" s="3">
        <v>2</v>
      </c>
      <c r="P118" s="1">
        <v>4</v>
      </c>
      <c r="Q118" s="1">
        <v>0</v>
      </c>
    </row>
    <row r="119" spans="1:17" s="28" customFormat="1" ht="15.75" x14ac:dyDescent="0.25">
      <c r="B119" s="15" t="s">
        <v>242</v>
      </c>
      <c r="C119" s="29" t="s">
        <v>243</v>
      </c>
      <c r="D119" s="1">
        <v>3</v>
      </c>
      <c r="E119" s="21" t="s">
        <v>25</v>
      </c>
      <c r="F119" s="30"/>
      <c r="G119" s="15">
        <v>2</v>
      </c>
      <c r="H119" s="21" t="s">
        <v>34</v>
      </c>
      <c r="I119" s="15" t="s">
        <v>244</v>
      </c>
      <c r="J119" s="1">
        <f t="shared" si="29"/>
        <v>22</v>
      </c>
      <c r="K119" s="1">
        <f t="shared" si="26"/>
        <v>2.75</v>
      </c>
      <c r="L119" s="1">
        <f t="shared" si="27"/>
        <v>1.375</v>
      </c>
      <c r="M119" s="1">
        <f t="shared" si="28"/>
        <v>0.6875</v>
      </c>
      <c r="N119" s="1" t="s">
        <v>106</v>
      </c>
      <c r="O119" s="3">
        <v>2</v>
      </c>
      <c r="P119" s="1">
        <v>5</v>
      </c>
      <c r="Q119" s="1">
        <v>0</v>
      </c>
    </row>
    <row r="120" spans="1:17" s="28" customFormat="1" ht="15.75" x14ac:dyDescent="0.25">
      <c r="B120" s="15" t="s">
        <v>245</v>
      </c>
      <c r="C120" s="29" t="s">
        <v>246</v>
      </c>
      <c r="D120" s="1">
        <v>1</v>
      </c>
      <c r="E120" s="21" t="s">
        <v>25</v>
      </c>
      <c r="F120" s="30"/>
      <c r="G120" s="15">
        <v>2</v>
      </c>
      <c r="H120" s="21" t="s">
        <v>34</v>
      </c>
      <c r="I120" s="15" t="s">
        <v>247</v>
      </c>
      <c r="J120" s="1">
        <f t="shared" si="29"/>
        <v>25</v>
      </c>
      <c r="K120" s="1">
        <f t="shared" si="26"/>
        <v>3.125</v>
      </c>
      <c r="L120" s="1">
        <f t="shared" si="27"/>
        <v>1.5625</v>
      </c>
      <c r="M120" s="1">
        <f t="shared" si="28"/>
        <v>0.78125</v>
      </c>
      <c r="N120" s="1" t="s">
        <v>106</v>
      </c>
      <c r="O120" s="3">
        <v>2</v>
      </c>
      <c r="P120" s="1">
        <v>6</v>
      </c>
      <c r="Q120" s="1">
        <v>0</v>
      </c>
    </row>
    <row r="121" spans="1:17" s="28" customFormat="1" ht="15.75" x14ac:dyDescent="0.25">
      <c r="B121" s="15" t="s">
        <v>248</v>
      </c>
      <c r="C121" s="29" t="s">
        <v>249</v>
      </c>
      <c r="D121" s="1">
        <v>1</v>
      </c>
      <c r="E121" s="21" t="s">
        <v>25</v>
      </c>
      <c r="F121" s="30"/>
      <c r="G121" s="15">
        <v>1</v>
      </c>
      <c r="H121" s="21" t="s">
        <v>34</v>
      </c>
      <c r="I121" s="21" t="s">
        <v>233</v>
      </c>
      <c r="J121" s="1">
        <f t="shared" si="29"/>
        <v>26</v>
      </c>
      <c r="K121" s="1">
        <f t="shared" si="26"/>
        <v>3.25</v>
      </c>
      <c r="L121" s="1">
        <f t="shared" si="27"/>
        <v>1.625</v>
      </c>
      <c r="M121" s="1">
        <f t="shared" si="28"/>
        <v>0.8125</v>
      </c>
      <c r="N121" s="1" t="s">
        <v>106</v>
      </c>
      <c r="O121" s="3">
        <v>2</v>
      </c>
      <c r="P121" s="1">
        <v>7</v>
      </c>
      <c r="Q121" s="1">
        <v>0</v>
      </c>
    </row>
    <row r="122" spans="1:17" s="28" customFormat="1" ht="15.75" x14ac:dyDescent="0.25">
      <c r="B122" s="15" t="s">
        <v>250</v>
      </c>
      <c r="C122" s="29" t="s">
        <v>251</v>
      </c>
      <c r="D122" s="1">
        <v>5</v>
      </c>
      <c r="E122" s="21" t="s">
        <v>25</v>
      </c>
      <c r="F122" s="30"/>
      <c r="G122" s="15">
        <v>0</v>
      </c>
      <c r="H122" s="21" t="s">
        <v>34</v>
      </c>
      <c r="I122" s="21" t="s">
        <v>233</v>
      </c>
      <c r="J122" s="1">
        <f t="shared" si="29"/>
        <v>27</v>
      </c>
      <c r="K122" s="1">
        <f t="shared" si="26"/>
        <v>3.375</v>
      </c>
      <c r="L122" s="1">
        <f t="shared" si="27"/>
        <v>1.6875</v>
      </c>
      <c r="M122" s="1">
        <f t="shared" si="28"/>
        <v>0.84375</v>
      </c>
      <c r="N122" s="1" t="s">
        <v>28</v>
      </c>
      <c r="O122" s="3">
        <v>0</v>
      </c>
      <c r="P122" s="1">
        <v>0</v>
      </c>
      <c r="Q122" s="1">
        <v>0</v>
      </c>
    </row>
    <row r="123" spans="1:17" s="28" customFormat="1" ht="15.75" x14ac:dyDescent="0.25">
      <c r="B123" s="15" t="s">
        <v>252</v>
      </c>
      <c r="C123" s="29" t="s">
        <v>253</v>
      </c>
      <c r="D123" s="1">
        <v>32</v>
      </c>
      <c r="E123" s="21" t="s">
        <v>25</v>
      </c>
      <c r="F123" s="30"/>
      <c r="G123" s="15">
        <v>2</v>
      </c>
      <c r="H123" s="21" t="s">
        <v>34</v>
      </c>
      <c r="I123" s="21" t="s">
        <v>233</v>
      </c>
      <c r="J123" s="1">
        <f t="shared" si="29"/>
        <v>32</v>
      </c>
      <c r="K123" s="1">
        <f t="shared" si="26"/>
        <v>4</v>
      </c>
      <c r="L123" s="1">
        <f t="shared" si="27"/>
        <v>2</v>
      </c>
      <c r="M123" s="1">
        <f t="shared" si="28"/>
        <v>1</v>
      </c>
      <c r="N123" s="1" t="s">
        <v>106</v>
      </c>
      <c r="O123" s="3">
        <v>2</v>
      </c>
      <c r="P123" s="1">
        <v>8</v>
      </c>
      <c r="Q123" s="1">
        <v>0</v>
      </c>
    </row>
    <row r="124" spans="1:17" x14ac:dyDescent="0.2">
      <c r="B124" s="15" t="s">
        <v>254</v>
      </c>
      <c r="C124" s="15" t="s">
        <v>255</v>
      </c>
      <c r="D124" s="1">
        <v>32</v>
      </c>
      <c r="E124" s="21" t="s">
        <v>195</v>
      </c>
      <c r="F124" s="21"/>
      <c r="G124" s="15">
        <v>0</v>
      </c>
      <c r="H124" s="21" t="s">
        <v>34</v>
      </c>
      <c r="I124" s="21" t="s">
        <v>233</v>
      </c>
      <c r="J124" s="1">
        <f t="shared" si="29"/>
        <v>64</v>
      </c>
      <c r="K124" s="1">
        <f t="shared" si="26"/>
        <v>8</v>
      </c>
      <c r="L124" s="1">
        <f t="shared" si="27"/>
        <v>4</v>
      </c>
      <c r="M124" s="1">
        <f t="shared" si="28"/>
        <v>2</v>
      </c>
      <c r="N124" s="1" t="s">
        <v>256</v>
      </c>
      <c r="O124" s="3">
        <v>3</v>
      </c>
      <c r="P124" s="1">
        <v>1</v>
      </c>
      <c r="Q124" s="1">
        <v>0</v>
      </c>
    </row>
    <row r="125" spans="1:17" x14ac:dyDescent="0.2">
      <c r="B125" s="15" t="s">
        <v>257</v>
      </c>
      <c r="C125" s="15" t="s">
        <v>258</v>
      </c>
      <c r="D125" s="1">
        <v>32</v>
      </c>
      <c r="E125" s="21" t="s">
        <v>25</v>
      </c>
      <c r="F125" s="21"/>
      <c r="G125" s="15">
        <v>0</v>
      </c>
      <c r="H125" s="21" t="s">
        <v>34</v>
      </c>
      <c r="I125" s="21" t="s">
        <v>233</v>
      </c>
      <c r="J125" s="1">
        <f t="shared" si="29"/>
        <v>96</v>
      </c>
      <c r="K125" s="1">
        <f t="shared" si="26"/>
        <v>12</v>
      </c>
      <c r="L125" s="1">
        <f t="shared" si="27"/>
        <v>6</v>
      </c>
      <c r="M125" s="1">
        <f t="shared" si="28"/>
        <v>3</v>
      </c>
      <c r="N125" s="1" t="s">
        <v>256</v>
      </c>
      <c r="O125" s="3">
        <v>3</v>
      </c>
      <c r="P125" s="1">
        <v>2</v>
      </c>
      <c r="Q125" s="1">
        <v>0</v>
      </c>
    </row>
    <row r="126" spans="1:17" x14ac:dyDescent="0.2">
      <c r="B126" s="15" t="s">
        <v>259</v>
      </c>
      <c r="C126" s="15" t="s">
        <v>260</v>
      </c>
      <c r="D126" s="1">
        <v>32</v>
      </c>
      <c r="E126" s="21" t="s">
        <v>195</v>
      </c>
      <c r="F126" s="21"/>
      <c r="G126" s="15">
        <v>0</v>
      </c>
      <c r="H126" s="21" t="s">
        <v>34</v>
      </c>
      <c r="I126" s="21" t="s">
        <v>233</v>
      </c>
      <c r="J126" s="1">
        <f t="shared" si="29"/>
        <v>128</v>
      </c>
      <c r="K126" s="1">
        <f t="shared" si="26"/>
        <v>16</v>
      </c>
      <c r="L126" s="1">
        <f t="shared" si="27"/>
        <v>8</v>
      </c>
      <c r="M126" s="1">
        <f t="shared" si="28"/>
        <v>4</v>
      </c>
      <c r="N126" s="1" t="s">
        <v>256</v>
      </c>
      <c r="O126" s="3">
        <v>3</v>
      </c>
      <c r="P126" s="1">
        <v>3</v>
      </c>
      <c r="Q126" s="1">
        <v>0</v>
      </c>
    </row>
    <row r="127" spans="1:17" x14ac:dyDescent="0.2">
      <c r="B127" s="15" t="s">
        <v>261</v>
      </c>
      <c r="C127" s="15" t="s">
        <v>262</v>
      </c>
      <c r="D127" s="1">
        <v>32</v>
      </c>
      <c r="E127" s="21" t="s">
        <v>25</v>
      </c>
      <c r="F127" s="21"/>
      <c r="G127" s="15">
        <v>0</v>
      </c>
      <c r="H127" s="21" t="s">
        <v>34</v>
      </c>
      <c r="I127" s="21" t="s">
        <v>233</v>
      </c>
      <c r="J127" s="1">
        <f t="shared" si="29"/>
        <v>160</v>
      </c>
      <c r="K127" s="1">
        <f t="shared" si="26"/>
        <v>20</v>
      </c>
      <c r="L127" s="1">
        <f t="shared" si="27"/>
        <v>10</v>
      </c>
      <c r="M127" s="1">
        <f t="shared" si="28"/>
        <v>5</v>
      </c>
      <c r="N127" s="1" t="s">
        <v>256</v>
      </c>
      <c r="O127" s="3">
        <v>3</v>
      </c>
      <c r="P127" s="1">
        <v>4</v>
      </c>
      <c r="Q127" s="1">
        <v>0</v>
      </c>
    </row>
    <row r="128" spans="1:17" x14ac:dyDescent="0.2">
      <c r="B128" s="15" t="s">
        <v>263</v>
      </c>
      <c r="C128" s="15" t="s">
        <v>264</v>
      </c>
      <c r="D128" s="1">
        <v>8</v>
      </c>
      <c r="E128" s="21" t="s">
        <v>25</v>
      </c>
      <c r="F128" s="21"/>
      <c r="G128" s="15">
        <v>0</v>
      </c>
      <c r="H128" s="21" t="s">
        <v>34</v>
      </c>
      <c r="I128" s="21" t="s">
        <v>265</v>
      </c>
      <c r="J128" s="1">
        <f t="shared" si="29"/>
        <v>192</v>
      </c>
      <c r="K128" s="1">
        <f t="shared" si="26"/>
        <v>24</v>
      </c>
      <c r="L128" s="1">
        <f t="shared" si="27"/>
        <v>12</v>
      </c>
      <c r="M128" s="1">
        <f t="shared" si="28"/>
        <v>6</v>
      </c>
      <c r="N128" s="1" t="s">
        <v>266</v>
      </c>
      <c r="O128" s="3">
        <v>5</v>
      </c>
      <c r="P128" s="1">
        <v>1</v>
      </c>
      <c r="Q128" s="1">
        <v>0</v>
      </c>
    </row>
    <row r="129" spans="2:17" x14ac:dyDescent="0.2">
      <c r="B129" s="15" t="s">
        <v>267</v>
      </c>
      <c r="C129" s="15" t="s">
        <v>268</v>
      </c>
      <c r="D129" s="1">
        <v>8</v>
      </c>
      <c r="E129" s="21" t="s">
        <v>25</v>
      </c>
      <c r="F129" s="21"/>
      <c r="G129" s="15">
        <v>0</v>
      </c>
      <c r="H129" s="21" t="s">
        <v>34</v>
      </c>
      <c r="I129" s="21" t="s">
        <v>269</v>
      </c>
      <c r="J129" s="1">
        <f t="shared" si="29"/>
        <v>200</v>
      </c>
      <c r="K129" s="1">
        <f t="shared" si="26"/>
        <v>25</v>
      </c>
      <c r="L129" s="1">
        <f t="shared" si="27"/>
        <v>12.5</v>
      </c>
      <c r="M129" s="1">
        <f t="shared" si="28"/>
        <v>6.25</v>
      </c>
      <c r="N129" s="1" t="s">
        <v>266</v>
      </c>
      <c r="O129" s="3">
        <v>5</v>
      </c>
      <c r="P129" s="1">
        <v>2</v>
      </c>
      <c r="Q129" s="1">
        <v>0</v>
      </c>
    </row>
    <row r="130" spans="2:17" x14ac:dyDescent="0.2">
      <c r="B130" s="15" t="s">
        <v>270</v>
      </c>
      <c r="C130" s="15" t="s">
        <v>271</v>
      </c>
      <c r="D130" s="1">
        <v>8</v>
      </c>
      <c r="E130" s="21" t="s">
        <v>25</v>
      </c>
      <c r="F130" s="21"/>
      <c r="G130" s="15">
        <v>0</v>
      </c>
      <c r="H130" s="21" t="s">
        <v>34</v>
      </c>
      <c r="I130" s="21" t="s">
        <v>272</v>
      </c>
      <c r="J130" s="1">
        <f t="shared" si="29"/>
        <v>208</v>
      </c>
      <c r="K130" s="1">
        <f t="shared" si="26"/>
        <v>26</v>
      </c>
      <c r="L130" s="1">
        <f t="shared" si="27"/>
        <v>13</v>
      </c>
      <c r="M130" s="1">
        <f t="shared" si="28"/>
        <v>6.5</v>
      </c>
      <c r="N130" s="1" t="s">
        <v>266</v>
      </c>
      <c r="O130" s="3">
        <v>5</v>
      </c>
      <c r="P130" s="1">
        <v>3</v>
      </c>
      <c r="Q130" s="1">
        <v>0</v>
      </c>
    </row>
    <row r="131" spans="2:17" x14ac:dyDescent="0.2">
      <c r="B131" s="15" t="s">
        <v>273</v>
      </c>
      <c r="C131" s="15" t="s">
        <v>274</v>
      </c>
      <c r="D131" s="1">
        <v>8</v>
      </c>
      <c r="E131" s="21" t="s">
        <v>25</v>
      </c>
      <c r="F131" s="21"/>
      <c r="G131" s="15">
        <v>0</v>
      </c>
      <c r="H131" s="21" t="s">
        <v>34</v>
      </c>
      <c r="I131" s="21" t="s">
        <v>275</v>
      </c>
      <c r="J131" s="1">
        <f t="shared" si="29"/>
        <v>216</v>
      </c>
      <c r="K131" s="1">
        <f t="shared" si="26"/>
        <v>27</v>
      </c>
      <c r="L131" s="1">
        <f t="shared" si="27"/>
        <v>13.5</v>
      </c>
      <c r="M131" s="1">
        <f t="shared" si="28"/>
        <v>6.75</v>
      </c>
      <c r="N131" s="1" t="s">
        <v>266</v>
      </c>
      <c r="O131" s="3">
        <v>5</v>
      </c>
      <c r="P131" s="1">
        <v>4</v>
      </c>
      <c r="Q131" s="1">
        <v>0</v>
      </c>
    </row>
    <row r="132" spans="2:17" x14ac:dyDescent="0.2">
      <c r="B132" s="15" t="s">
        <v>276</v>
      </c>
      <c r="C132" s="15" t="s">
        <v>277</v>
      </c>
      <c r="D132" s="1">
        <v>8</v>
      </c>
      <c r="E132" s="21" t="s">
        <v>25</v>
      </c>
      <c r="F132" s="21"/>
      <c r="G132" s="15">
        <v>0</v>
      </c>
      <c r="H132" s="21" t="s">
        <v>34</v>
      </c>
      <c r="I132" s="21" t="s">
        <v>278</v>
      </c>
      <c r="J132" s="1">
        <f t="shared" si="29"/>
        <v>224</v>
      </c>
      <c r="K132" s="1">
        <f t="shared" si="26"/>
        <v>28</v>
      </c>
      <c r="L132" s="1">
        <f t="shared" si="27"/>
        <v>14</v>
      </c>
      <c r="M132" s="1">
        <f t="shared" si="28"/>
        <v>7</v>
      </c>
      <c r="N132" s="1" t="s">
        <v>266</v>
      </c>
      <c r="O132" s="3">
        <v>5</v>
      </c>
      <c r="P132" s="1">
        <v>5</v>
      </c>
      <c r="Q132" s="1">
        <v>0</v>
      </c>
    </row>
    <row r="133" spans="2:17" x14ac:dyDescent="0.2">
      <c r="B133" s="15" t="s">
        <v>279</v>
      </c>
      <c r="C133" s="15" t="s">
        <v>280</v>
      </c>
      <c r="D133" s="1">
        <v>8</v>
      </c>
      <c r="E133" s="21" t="s">
        <v>25</v>
      </c>
      <c r="F133" s="21"/>
      <c r="G133" s="15">
        <v>0</v>
      </c>
      <c r="H133" s="21" t="s">
        <v>34</v>
      </c>
      <c r="I133" s="15" t="s">
        <v>279</v>
      </c>
      <c r="J133" s="1">
        <f t="shared" si="29"/>
        <v>232</v>
      </c>
      <c r="K133" s="1">
        <f t="shared" si="26"/>
        <v>29</v>
      </c>
      <c r="L133" s="1">
        <f t="shared" si="27"/>
        <v>14.5</v>
      </c>
      <c r="M133" s="1">
        <f t="shared" si="28"/>
        <v>7.25</v>
      </c>
      <c r="N133" s="1" t="s">
        <v>281</v>
      </c>
      <c r="O133" s="3">
        <v>4</v>
      </c>
      <c r="P133" s="1">
        <v>1</v>
      </c>
      <c r="Q133" s="1">
        <v>0</v>
      </c>
    </row>
    <row r="134" spans="2:17" x14ac:dyDescent="0.2">
      <c r="B134" s="15" t="s">
        <v>282</v>
      </c>
      <c r="C134" s="15" t="s">
        <v>283</v>
      </c>
      <c r="D134" s="1">
        <v>8</v>
      </c>
      <c r="E134" s="21" t="s">
        <v>25</v>
      </c>
      <c r="F134" s="21"/>
      <c r="G134" s="15">
        <v>0</v>
      </c>
      <c r="H134" s="21" t="s">
        <v>34</v>
      </c>
      <c r="I134" s="15" t="s">
        <v>282</v>
      </c>
      <c r="J134" s="1">
        <f t="shared" si="29"/>
        <v>240</v>
      </c>
      <c r="K134" s="1">
        <f t="shared" si="26"/>
        <v>30</v>
      </c>
      <c r="L134" s="1">
        <f t="shared" si="27"/>
        <v>15</v>
      </c>
      <c r="M134" s="1">
        <f t="shared" si="28"/>
        <v>7.5</v>
      </c>
      <c r="N134" s="1" t="s">
        <v>281</v>
      </c>
      <c r="O134" s="3">
        <v>4</v>
      </c>
      <c r="P134" s="1">
        <v>2</v>
      </c>
      <c r="Q134" s="1">
        <v>0</v>
      </c>
    </row>
    <row r="135" spans="2:17" x14ac:dyDescent="0.2">
      <c r="B135" s="15" t="s">
        <v>284</v>
      </c>
      <c r="C135" s="15" t="s">
        <v>285</v>
      </c>
      <c r="D135" s="1">
        <v>8</v>
      </c>
      <c r="E135" s="21" t="s">
        <v>25</v>
      </c>
      <c r="F135" s="21"/>
      <c r="G135" s="15">
        <v>0</v>
      </c>
      <c r="H135" s="21" t="s">
        <v>34</v>
      </c>
      <c r="I135" s="15" t="s">
        <v>284</v>
      </c>
      <c r="J135" s="1">
        <f t="shared" si="29"/>
        <v>248</v>
      </c>
      <c r="K135" s="1">
        <f t="shared" si="26"/>
        <v>31</v>
      </c>
      <c r="L135" s="1">
        <f t="shared" si="27"/>
        <v>15.5</v>
      </c>
      <c r="M135" s="1">
        <f t="shared" si="28"/>
        <v>7.75</v>
      </c>
      <c r="N135" s="1" t="s">
        <v>281</v>
      </c>
      <c r="O135" s="3">
        <v>4</v>
      </c>
      <c r="P135" s="1">
        <v>3</v>
      </c>
      <c r="Q135" s="1">
        <v>0</v>
      </c>
    </row>
    <row r="136" spans="2:17" x14ac:dyDescent="0.2">
      <c r="B136" s="15" t="s">
        <v>286</v>
      </c>
      <c r="C136" s="15" t="s">
        <v>287</v>
      </c>
      <c r="D136" s="1">
        <v>8</v>
      </c>
      <c r="E136" s="21" t="s">
        <v>25</v>
      </c>
      <c r="F136" s="21"/>
      <c r="G136" s="15">
        <v>0</v>
      </c>
      <c r="H136" s="21" t="s">
        <v>34</v>
      </c>
      <c r="I136" s="15" t="s">
        <v>286</v>
      </c>
      <c r="J136" s="1">
        <f t="shared" si="29"/>
        <v>256</v>
      </c>
      <c r="K136" s="1">
        <f t="shared" si="26"/>
        <v>32</v>
      </c>
      <c r="L136" s="1">
        <f t="shared" si="27"/>
        <v>16</v>
      </c>
      <c r="M136" s="1">
        <f t="shared" si="28"/>
        <v>8</v>
      </c>
      <c r="N136" s="1" t="s">
        <v>281</v>
      </c>
      <c r="O136" s="3">
        <v>4</v>
      </c>
      <c r="P136" s="1">
        <v>4</v>
      </c>
      <c r="Q136" s="1">
        <v>0</v>
      </c>
    </row>
    <row r="137" spans="2:17" x14ac:dyDescent="0.2">
      <c r="B137" s="15" t="s">
        <v>288</v>
      </c>
      <c r="C137" s="15" t="s">
        <v>289</v>
      </c>
      <c r="D137" s="1">
        <v>8</v>
      </c>
      <c r="E137" s="21" t="s">
        <v>25</v>
      </c>
      <c r="F137" s="21"/>
      <c r="G137" s="15">
        <v>0</v>
      </c>
      <c r="H137" s="21" t="s">
        <v>34</v>
      </c>
      <c r="I137" s="15" t="s">
        <v>288</v>
      </c>
      <c r="J137" s="1">
        <f t="shared" si="29"/>
        <v>264</v>
      </c>
      <c r="K137" s="1">
        <f t="shared" si="26"/>
        <v>33</v>
      </c>
      <c r="L137" s="1">
        <f t="shared" si="27"/>
        <v>16.5</v>
      </c>
      <c r="M137" s="1">
        <f t="shared" si="28"/>
        <v>8.25</v>
      </c>
      <c r="N137" s="1" t="s">
        <v>281</v>
      </c>
      <c r="O137" s="3">
        <v>4</v>
      </c>
      <c r="P137" s="1">
        <v>5</v>
      </c>
      <c r="Q137" s="1">
        <v>0</v>
      </c>
    </row>
    <row r="138" spans="2:17" x14ac:dyDescent="0.2">
      <c r="B138" s="15" t="s">
        <v>290</v>
      </c>
      <c r="C138" s="15" t="s">
        <v>291</v>
      </c>
      <c r="D138" s="1">
        <v>8</v>
      </c>
      <c r="E138" s="21" t="s">
        <v>25</v>
      </c>
      <c r="F138" s="21"/>
      <c r="G138" s="15">
        <v>0</v>
      </c>
      <c r="H138" s="21" t="s">
        <v>34</v>
      </c>
      <c r="I138" s="15" t="s">
        <v>290</v>
      </c>
      <c r="J138" s="1">
        <f t="shared" si="29"/>
        <v>272</v>
      </c>
      <c r="K138" s="1">
        <f t="shared" si="26"/>
        <v>34</v>
      </c>
      <c r="L138" s="1">
        <f t="shared" si="27"/>
        <v>17</v>
      </c>
      <c r="M138" s="1">
        <f t="shared" si="28"/>
        <v>8.5</v>
      </c>
      <c r="N138" s="1" t="s">
        <v>281</v>
      </c>
      <c r="O138" s="3">
        <v>4</v>
      </c>
      <c r="P138" s="1">
        <v>6</v>
      </c>
      <c r="Q138" s="1">
        <v>0</v>
      </c>
    </row>
    <row r="139" spans="2:17" x14ac:dyDescent="0.2">
      <c r="B139" s="15" t="s">
        <v>292</v>
      </c>
      <c r="C139" s="15" t="s">
        <v>293</v>
      </c>
      <c r="D139" s="1">
        <v>8</v>
      </c>
      <c r="E139" s="21" t="s">
        <v>25</v>
      </c>
      <c r="F139" s="21"/>
      <c r="G139" s="15">
        <v>0</v>
      </c>
      <c r="H139" s="21" t="s">
        <v>34</v>
      </c>
      <c r="I139" s="15" t="s">
        <v>292</v>
      </c>
      <c r="J139" s="1">
        <f t="shared" si="29"/>
        <v>280</v>
      </c>
      <c r="K139" s="1">
        <f t="shared" si="26"/>
        <v>35</v>
      </c>
      <c r="L139" s="1">
        <f t="shared" si="27"/>
        <v>17.5</v>
      </c>
      <c r="M139" s="1">
        <f t="shared" si="28"/>
        <v>8.75</v>
      </c>
      <c r="N139" s="1" t="s">
        <v>281</v>
      </c>
      <c r="O139" s="3">
        <v>4</v>
      </c>
      <c r="P139" s="1">
        <v>7</v>
      </c>
      <c r="Q139" s="1">
        <v>0</v>
      </c>
    </row>
    <row r="140" spans="2:17" x14ac:dyDescent="0.2">
      <c r="B140" s="15" t="s">
        <v>294</v>
      </c>
      <c r="C140" s="15" t="s">
        <v>295</v>
      </c>
      <c r="D140" s="1">
        <v>8</v>
      </c>
      <c r="E140" s="21" t="s">
        <v>25</v>
      </c>
      <c r="F140" s="21"/>
      <c r="G140" s="15">
        <v>0</v>
      </c>
      <c r="H140" s="21" t="s">
        <v>34</v>
      </c>
      <c r="I140" s="15" t="s">
        <v>294</v>
      </c>
      <c r="J140" s="1">
        <f t="shared" si="29"/>
        <v>288</v>
      </c>
      <c r="K140" s="1">
        <f t="shared" si="26"/>
        <v>36</v>
      </c>
      <c r="L140" s="1">
        <f t="shared" si="27"/>
        <v>18</v>
      </c>
      <c r="M140" s="1">
        <f t="shared" si="28"/>
        <v>9</v>
      </c>
      <c r="N140" s="1" t="s">
        <v>256</v>
      </c>
      <c r="O140" s="3">
        <v>3</v>
      </c>
      <c r="P140" s="1">
        <v>5</v>
      </c>
      <c r="Q140" s="1">
        <v>0</v>
      </c>
    </row>
    <row r="141" spans="2:17" x14ac:dyDescent="0.2">
      <c r="B141" s="15" t="s">
        <v>296</v>
      </c>
      <c r="C141" s="15" t="s">
        <v>297</v>
      </c>
      <c r="D141" s="1">
        <v>8</v>
      </c>
      <c r="E141" s="21" t="s">
        <v>25</v>
      </c>
      <c r="F141" s="21"/>
      <c r="G141" s="15">
        <v>0</v>
      </c>
      <c r="H141" s="21" t="s">
        <v>34</v>
      </c>
      <c r="I141" s="15" t="s">
        <v>296</v>
      </c>
      <c r="J141" s="1">
        <f t="shared" si="29"/>
        <v>296</v>
      </c>
      <c r="K141" s="1">
        <f t="shared" si="26"/>
        <v>37</v>
      </c>
      <c r="L141" s="1">
        <f t="shared" si="27"/>
        <v>18.5</v>
      </c>
      <c r="M141" s="1">
        <f t="shared" si="28"/>
        <v>9.25</v>
      </c>
      <c r="N141" s="1" t="s">
        <v>256</v>
      </c>
      <c r="O141" s="3">
        <v>3</v>
      </c>
      <c r="P141" s="1">
        <v>6</v>
      </c>
      <c r="Q141" s="1">
        <v>0</v>
      </c>
    </row>
    <row r="142" spans="2:17" x14ac:dyDescent="0.2">
      <c r="B142" s="15" t="s">
        <v>298</v>
      </c>
      <c r="C142" s="15" t="s">
        <v>299</v>
      </c>
      <c r="D142" s="1">
        <v>8</v>
      </c>
      <c r="E142" s="21" t="s">
        <v>25</v>
      </c>
      <c r="F142" s="21"/>
      <c r="G142" s="15">
        <v>0</v>
      </c>
      <c r="H142" s="21" t="s">
        <v>34</v>
      </c>
      <c r="I142" s="15" t="s">
        <v>298</v>
      </c>
      <c r="J142" s="1">
        <f t="shared" si="29"/>
        <v>304</v>
      </c>
      <c r="K142" s="1">
        <f t="shared" si="26"/>
        <v>38</v>
      </c>
      <c r="L142" s="1">
        <f t="shared" si="27"/>
        <v>19</v>
      </c>
      <c r="M142" s="1">
        <f t="shared" si="28"/>
        <v>9.5</v>
      </c>
      <c r="N142" s="1" t="s">
        <v>256</v>
      </c>
      <c r="O142" s="3">
        <v>3</v>
      </c>
      <c r="P142" s="1">
        <v>7</v>
      </c>
      <c r="Q142" s="1">
        <v>0</v>
      </c>
    </row>
    <row r="143" spans="2:17" x14ac:dyDescent="0.2">
      <c r="B143" s="15" t="s">
        <v>300</v>
      </c>
      <c r="C143" s="15" t="s">
        <v>301</v>
      </c>
      <c r="D143" s="1">
        <v>8</v>
      </c>
      <c r="E143" s="21" t="s">
        <v>25</v>
      </c>
      <c r="F143" s="21"/>
      <c r="G143" s="15">
        <v>0</v>
      </c>
      <c r="H143" s="21" t="s">
        <v>34</v>
      </c>
      <c r="I143" s="15" t="s">
        <v>300</v>
      </c>
      <c r="J143" s="1">
        <f t="shared" si="29"/>
        <v>312</v>
      </c>
      <c r="K143" s="1">
        <f t="shared" si="26"/>
        <v>39</v>
      </c>
      <c r="L143" s="1">
        <f t="shared" si="27"/>
        <v>19.5</v>
      </c>
      <c r="M143" s="1">
        <f t="shared" si="28"/>
        <v>9.75</v>
      </c>
      <c r="N143" s="1" t="s">
        <v>256</v>
      </c>
      <c r="O143" s="3">
        <v>3</v>
      </c>
      <c r="P143" s="1">
        <v>8</v>
      </c>
      <c r="Q143" s="1">
        <v>0</v>
      </c>
    </row>
    <row r="144" spans="2:17" x14ac:dyDescent="0.2">
      <c r="B144" s="15" t="s">
        <v>302</v>
      </c>
      <c r="C144" s="15" t="s">
        <v>303</v>
      </c>
      <c r="D144" s="1">
        <v>8</v>
      </c>
      <c r="E144" s="21" t="s">
        <v>25</v>
      </c>
      <c r="F144" s="21"/>
      <c r="G144" s="15">
        <v>0</v>
      </c>
      <c r="H144" s="21" t="s">
        <v>34</v>
      </c>
      <c r="I144" s="15" t="s">
        <v>302</v>
      </c>
      <c r="J144" s="1">
        <f t="shared" si="29"/>
        <v>320</v>
      </c>
      <c r="K144" s="1">
        <f t="shared" si="26"/>
        <v>40</v>
      </c>
      <c r="L144" s="1">
        <f t="shared" si="27"/>
        <v>20</v>
      </c>
      <c r="M144" s="1">
        <f t="shared" si="28"/>
        <v>10</v>
      </c>
      <c r="N144" s="1" t="s">
        <v>256</v>
      </c>
      <c r="O144" s="3">
        <v>3</v>
      </c>
      <c r="P144" s="1">
        <v>9</v>
      </c>
      <c r="Q144" s="1">
        <v>0</v>
      </c>
    </row>
    <row r="145" spans="2:17" x14ac:dyDescent="0.2">
      <c r="B145" s="15" t="s">
        <v>304</v>
      </c>
      <c r="C145" s="15" t="s">
        <v>305</v>
      </c>
      <c r="D145" s="1">
        <v>8</v>
      </c>
      <c r="E145" s="21" t="s">
        <v>25</v>
      </c>
      <c r="F145" s="21"/>
      <c r="G145" s="15">
        <v>0</v>
      </c>
      <c r="H145" s="21" t="s">
        <v>34</v>
      </c>
      <c r="I145" s="15" t="s">
        <v>304</v>
      </c>
      <c r="J145" s="1">
        <f t="shared" si="29"/>
        <v>328</v>
      </c>
      <c r="K145" s="1">
        <f t="shared" si="26"/>
        <v>41</v>
      </c>
      <c r="L145" s="1">
        <f t="shared" si="27"/>
        <v>20.5</v>
      </c>
      <c r="M145" s="1">
        <f t="shared" si="28"/>
        <v>10.25</v>
      </c>
      <c r="N145" s="1" t="s">
        <v>256</v>
      </c>
      <c r="O145" s="3">
        <v>3</v>
      </c>
      <c r="P145" s="1">
        <v>10</v>
      </c>
      <c r="Q145" s="1">
        <v>0</v>
      </c>
    </row>
    <row r="146" spans="2:17" x14ac:dyDescent="0.2">
      <c r="B146" s="15" t="s">
        <v>306</v>
      </c>
      <c r="C146" s="15" t="s">
        <v>307</v>
      </c>
      <c r="D146" s="1">
        <v>8</v>
      </c>
      <c r="E146" s="21" t="s">
        <v>25</v>
      </c>
      <c r="F146" s="21"/>
      <c r="G146" s="15">
        <v>0</v>
      </c>
      <c r="H146" s="21" t="s">
        <v>34</v>
      </c>
      <c r="I146" s="15" t="s">
        <v>306</v>
      </c>
      <c r="J146" s="1">
        <f t="shared" si="29"/>
        <v>336</v>
      </c>
      <c r="K146" s="1">
        <f t="shared" si="26"/>
        <v>42</v>
      </c>
      <c r="L146" s="1">
        <f t="shared" si="27"/>
        <v>21</v>
      </c>
      <c r="M146" s="1">
        <f t="shared" si="28"/>
        <v>10.5</v>
      </c>
      <c r="N146" s="1" t="s">
        <v>106</v>
      </c>
      <c r="O146" s="3">
        <v>2</v>
      </c>
      <c r="P146" s="1">
        <v>9</v>
      </c>
      <c r="Q146" s="1">
        <v>0</v>
      </c>
    </row>
    <row r="147" spans="2:17" x14ac:dyDescent="0.2">
      <c r="B147" s="15" t="s">
        <v>308</v>
      </c>
      <c r="C147" s="15" t="s">
        <v>309</v>
      </c>
      <c r="D147" s="1">
        <v>8</v>
      </c>
      <c r="E147" s="21" t="s">
        <v>25</v>
      </c>
      <c r="F147" s="21"/>
      <c r="G147" s="15">
        <v>0</v>
      </c>
      <c r="H147" s="21" t="s">
        <v>34</v>
      </c>
      <c r="I147" s="15" t="s">
        <v>308</v>
      </c>
      <c r="J147" s="1">
        <f t="shared" si="29"/>
        <v>344</v>
      </c>
      <c r="K147" s="1">
        <f t="shared" si="26"/>
        <v>43</v>
      </c>
      <c r="L147" s="1">
        <f t="shared" si="27"/>
        <v>21.5</v>
      </c>
      <c r="M147" s="1">
        <f t="shared" si="28"/>
        <v>10.75</v>
      </c>
      <c r="N147" s="1" t="s">
        <v>106</v>
      </c>
      <c r="O147" s="3">
        <v>2</v>
      </c>
      <c r="P147" s="1">
        <v>10</v>
      </c>
      <c r="Q147" s="1">
        <v>0</v>
      </c>
    </row>
    <row r="148" spans="2:17" x14ac:dyDescent="0.2">
      <c r="B148" s="15" t="s">
        <v>310</v>
      </c>
      <c r="C148" s="15" t="s">
        <v>311</v>
      </c>
      <c r="D148" s="1">
        <v>8</v>
      </c>
      <c r="E148" s="21" t="s">
        <v>25</v>
      </c>
      <c r="F148" s="21"/>
      <c r="G148" s="15">
        <v>0</v>
      </c>
      <c r="H148" s="21" t="s">
        <v>34</v>
      </c>
      <c r="I148" s="15" t="s">
        <v>310</v>
      </c>
      <c r="J148" s="1">
        <f t="shared" si="29"/>
        <v>352</v>
      </c>
      <c r="K148" s="1">
        <f t="shared" si="26"/>
        <v>44</v>
      </c>
      <c r="L148" s="1">
        <f t="shared" si="27"/>
        <v>22</v>
      </c>
      <c r="M148" s="1">
        <f t="shared" si="28"/>
        <v>11</v>
      </c>
      <c r="N148" s="1" t="s">
        <v>256</v>
      </c>
      <c r="O148" s="3">
        <v>3</v>
      </c>
      <c r="P148" s="1">
        <v>11</v>
      </c>
      <c r="Q148" s="1">
        <v>0</v>
      </c>
    </row>
    <row r="149" spans="2:17" x14ac:dyDescent="0.2">
      <c r="B149" s="15" t="s">
        <v>312</v>
      </c>
      <c r="C149" s="15" t="s">
        <v>313</v>
      </c>
      <c r="D149" s="1">
        <v>8</v>
      </c>
      <c r="E149" s="21" t="s">
        <v>25</v>
      </c>
      <c r="F149" s="21"/>
      <c r="G149" s="15">
        <v>0</v>
      </c>
      <c r="H149" s="21" t="s">
        <v>34</v>
      </c>
      <c r="I149" s="15" t="s">
        <v>312</v>
      </c>
      <c r="J149" s="1">
        <f t="shared" si="29"/>
        <v>360</v>
      </c>
      <c r="K149" s="1">
        <f t="shared" si="26"/>
        <v>45</v>
      </c>
      <c r="L149" s="1">
        <f t="shared" si="27"/>
        <v>22.5</v>
      </c>
      <c r="M149" s="1">
        <f t="shared" si="28"/>
        <v>11.25</v>
      </c>
      <c r="N149" s="1" t="s">
        <v>256</v>
      </c>
      <c r="O149" s="3">
        <v>3</v>
      </c>
      <c r="P149" s="1">
        <v>12</v>
      </c>
      <c r="Q149" s="1">
        <v>0</v>
      </c>
    </row>
    <row r="150" spans="2:17" x14ac:dyDescent="0.2">
      <c r="B150" s="15" t="s">
        <v>314</v>
      </c>
      <c r="C150" s="15" t="s">
        <v>315</v>
      </c>
      <c r="D150" s="1">
        <v>8</v>
      </c>
      <c r="E150" s="21" t="s">
        <v>25</v>
      </c>
      <c r="F150" s="21"/>
      <c r="G150" s="15">
        <v>0</v>
      </c>
      <c r="H150" s="21" t="s">
        <v>34</v>
      </c>
      <c r="I150" s="15" t="s">
        <v>314</v>
      </c>
      <c r="J150" s="1">
        <f t="shared" si="29"/>
        <v>368</v>
      </c>
      <c r="K150" s="1">
        <f t="shared" si="26"/>
        <v>46</v>
      </c>
      <c r="L150" s="1">
        <f t="shared" si="27"/>
        <v>23</v>
      </c>
      <c r="M150" s="1">
        <f t="shared" si="28"/>
        <v>11.5</v>
      </c>
      <c r="N150" s="1" t="s">
        <v>256</v>
      </c>
      <c r="O150" s="3">
        <v>3</v>
      </c>
      <c r="P150" s="1">
        <v>13</v>
      </c>
      <c r="Q150" s="1">
        <v>0</v>
      </c>
    </row>
    <row r="151" spans="2:17" x14ac:dyDescent="0.2">
      <c r="B151" s="15" t="s">
        <v>316</v>
      </c>
      <c r="C151" s="15" t="s">
        <v>317</v>
      </c>
      <c r="D151" s="1">
        <v>8</v>
      </c>
      <c r="E151" s="21" t="s">
        <v>25</v>
      </c>
      <c r="F151" s="21"/>
      <c r="G151" s="15">
        <v>0</v>
      </c>
      <c r="H151" s="21" t="s">
        <v>34</v>
      </c>
      <c r="I151" s="15" t="s">
        <v>316</v>
      </c>
      <c r="J151" s="1">
        <f t="shared" si="29"/>
        <v>376</v>
      </c>
      <c r="K151" s="1">
        <f t="shared" si="26"/>
        <v>47</v>
      </c>
      <c r="L151" s="1">
        <f t="shared" si="27"/>
        <v>23.5</v>
      </c>
      <c r="M151" s="1">
        <f t="shared" si="28"/>
        <v>11.75</v>
      </c>
      <c r="N151" s="1" t="s">
        <v>256</v>
      </c>
      <c r="O151" s="3">
        <v>3</v>
      </c>
      <c r="P151" s="1">
        <v>14</v>
      </c>
      <c r="Q151" s="1">
        <v>0</v>
      </c>
    </row>
    <row r="152" spans="2:17" x14ac:dyDescent="0.2">
      <c r="B152" s="15" t="s">
        <v>318</v>
      </c>
      <c r="C152" s="15" t="s">
        <v>319</v>
      </c>
      <c r="D152" s="1">
        <v>8</v>
      </c>
      <c r="E152" s="21" t="s">
        <v>25</v>
      </c>
      <c r="F152" s="21"/>
      <c r="G152" s="15">
        <v>0</v>
      </c>
      <c r="H152" s="21" t="s">
        <v>34</v>
      </c>
      <c r="I152" s="15" t="s">
        <v>318</v>
      </c>
      <c r="J152" s="1">
        <f t="shared" si="29"/>
        <v>384</v>
      </c>
      <c r="K152" s="1">
        <f t="shared" si="26"/>
        <v>48</v>
      </c>
      <c r="L152" s="1">
        <f t="shared" si="27"/>
        <v>24</v>
      </c>
      <c r="M152" s="1">
        <f t="shared" si="28"/>
        <v>12</v>
      </c>
      <c r="N152" s="1" t="s">
        <v>256</v>
      </c>
      <c r="O152" s="3">
        <v>3</v>
      </c>
      <c r="P152" s="1">
        <v>15</v>
      </c>
      <c r="Q152" s="1">
        <v>0</v>
      </c>
    </row>
    <row r="153" spans="2:17" x14ac:dyDescent="0.2">
      <c r="B153" s="15" t="s">
        <v>320</v>
      </c>
      <c r="C153" s="15" t="s">
        <v>321</v>
      </c>
      <c r="D153" s="1">
        <v>8</v>
      </c>
      <c r="E153" s="21" t="s">
        <v>25</v>
      </c>
      <c r="F153" s="21"/>
      <c r="G153" s="15">
        <v>0</v>
      </c>
      <c r="H153" s="21" t="s">
        <v>34</v>
      </c>
      <c r="I153" s="15" t="s">
        <v>320</v>
      </c>
      <c r="J153" s="1">
        <f t="shared" si="29"/>
        <v>392</v>
      </c>
      <c r="K153" s="1">
        <f t="shared" si="26"/>
        <v>49</v>
      </c>
      <c r="L153" s="1">
        <f t="shared" si="27"/>
        <v>24.5</v>
      </c>
      <c r="M153" s="1">
        <f t="shared" si="28"/>
        <v>12.25</v>
      </c>
      <c r="N153" s="1" t="s">
        <v>106</v>
      </c>
      <c r="O153" s="3">
        <v>2</v>
      </c>
      <c r="P153" s="1">
        <v>11</v>
      </c>
      <c r="Q153" s="1">
        <v>0</v>
      </c>
    </row>
    <row r="154" spans="2:17" x14ac:dyDescent="0.2">
      <c r="B154" s="15" t="s">
        <v>322</v>
      </c>
      <c r="C154" s="15" t="s">
        <v>323</v>
      </c>
      <c r="D154" s="1">
        <v>8</v>
      </c>
      <c r="E154" s="21" t="s">
        <v>25</v>
      </c>
      <c r="F154" s="21"/>
      <c r="G154" s="15">
        <v>0</v>
      </c>
      <c r="H154" s="21" t="s">
        <v>34</v>
      </c>
      <c r="I154" s="15" t="s">
        <v>322</v>
      </c>
      <c r="J154" s="1">
        <f t="shared" si="29"/>
        <v>400</v>
      </c>
      <c r="K154" s="1">
        <f t="shared" si="26"/>
        <v>50</v>
      </c>
      <c r="L154" s="1">
        <f t="shared" si="27"/>
        <v>25</v>
      </c>
      <c r="M154" s="1">
        <f t="shared" si="28"/>
        <v>12.5</v>
      </c>
      <c r="N154" s="1" t="s">
        <v>106</v>
      </c>
      <c r="O154" s="3">
        <v>2</v>
      </c>
      <c r="P154" s="1">
        <v>12</v>
      </c>
      <c r="Q154" s="1">
        <v>0</v>
      </c>
    </row>
    <row r="155" spans="2:17" x14ac:dyDescent="0.2">
      <c r="B155" s="15" t="s">
        <v>324</v>
      </c>
      <c r="C155" s="15" t="s">
        <v>325</v>
      </c>
      <c r="D155" s="1">
        <v>8</v>
      </c>
      <c r="E155" s="21" t="s">
        <v>25</v>
      </c>
      <c r="F155" s="21"/>
      <c r="G155" s="15">
        <v>0</v>
      </c>
      <c r="H155" s="21" t="s">
        <v>34</v>
      </c>
      <c r="I155" s="15" t="s">
        <v>324</v>
      </c>
      <c r="J155" s="1">
        <f t="shared" si="29"/>
        <v>408</v>
      </c>
      <c r="K155" s="1">
        <f t="shared" si="26"/>
        <v>51</v>
      </c>
      <c r="L155" s="1">
        <f t="shared" si="27"/>
        <v>25.5</v>
      </c>
      <c r="M155" s="1">
        <f t="shared" si="28"/>
        <v>12.75</v>
      </c>
      <c r="N155" s="1" t="s">
        <v>106</v>
      </c>
      <c r="O155" s="3">
        <v>2</v>
      </c>
      <c r="P155" s="1">
        <v>13</v>
      </c>
      <c r="Q155" s="1">
        <v>0</v>
      </c>
    </row>
    <row r="156" spans="2:17" x14ac:dyDescent="0.2">
      <c r="B156" s="3" t="s">
        <v>326</v>
      </c>
      <c r="C156" s="3" t="s">
        <v>327</v>
      </c>
      <c r="D156" s="1">
        <v>16</v>
      </c>
      <c r="E156" s="21" t="s">
        <v>25</v>
      </c>
      <c r="F156" s="21" t="s">
        <v>64</v>
      </c>
      <c r="G156" s="15">
        <v>0</v>
      </c>
      <c r="H156" s="21" t="s">
        <v>34</v>
      </c>
      <c r="I156" s="3" t="s">
        <v>326</v>
      </c>
      <c r="J156" s="1">
        <f t="shared" si="29"/>
        <v>416</v>
      </c>
      <c r="K156" s="1">
        <f t="shared" si="26"/>
        <v>52</v>
      </c>
      <c r="L156" s="1">
        <f t="shared" si="27"/>
        <v>26</v>
      </c>
      <c r="M156" s="1">
        <f t="shared" si="28"/>
        <v>13</v>
      </c>
      <c r="N156" s="1" t="s">
        <v>106</v>
      </c>
      <c r="O156" s="3">
        <v>2</v>
      </c>
      <c r="P156" s="1">
        <v>14</v>
      </c>
      <c r="Q156" s="1">
        <v>0</v>
      </c>
    </row>
    <row r="157" spans="2:17" x14ac:dyDescent="0.2">
      <c r="B157" s="15" t="s">
        <v>328</v>
      </c>
      <c r="C157" s="15" t="s">
        <v>329</v>
      </c>
      <c r="D157" s="1">
        <v>8</v>
      </c>
      <c r="E157" s="21" t="s">
        <v>25</v>
      </c>
      <c r="F157" s="21"/>
      <c r="G157" s="15">
        <v>2</v>
      </c>
      <c r="H157" s="21" t="s">
        <v>34</v>
      </c>
      <c r="I157" s="15" t="s">
        <v>328</v>
      </c>
      <c r="J157" s="1">
        <f t="shared" si="29"/>
        <v>432</v>
      </c>
      <c r="K157" s="1">
        <f t="shared" si="26"/>
        <v>54</v>
      </c>
      <c r="L157" s="1">
        <f t="shared" si="27"/>
        <v>27</v>
      </c>
      <c r="M157" s="1">
        <f t="shared" si="28"/>
        <v>13.5</v>
      </c>
      <c r="N157" s="1" t="s">
        <v>106</v>
      </c>
      <c r="O157" s="3">
        <v>2</v>
      </c>
      <c r="P157" s="1">
        <v>15</v>
      </c>
      <c r="Q157" s="1">
        <v>0</v>
      </c>
    </row>
    <row r="158" spans="2:17" x14ac:dyDescent="0.2">
      <c r="B158" s="15" t="s">
        <v>330</v>
      </c>
      <c r="C158" s="15" t="s">
        <v>331</v>
      </c>
      <c r="D158" s="1">
        <v>8</v>
      </c>
      <c r="E158" s="21" t="s">
        <v>25</v>
      </c>
      <c r="F158" s="21"/>
      <c r="G158" s="15">
        <v>2</v>
      </c>
      <c r="H158" s="21" t="s">
        <v>34</v>
      </c>
      <c r="I158" s="15" t="s">
        <v>332</v>
      </c>
      <c r="J158" s="1">
        <f t="shared" si="29"/>
        <v>440</v>
      </c>
      <c r="K158" s="1">
        <f t="shared" si="26"/>
        <v>55</v>
      </c>
      <c r="L158" s="1">
        <f t="shared" si="27"/>
        <v>27.5</v>
      </c>
      <c r="M158" s="1">
        <f t="shared" si="28"/>
        <v>13.75</v>
      </c>
      <c r="N158" s="1" t="s">
        <v>106</v>
      </c>
      <c r="O158" s="3">
        <v>2</v>
      </c>
      <c r="P158" s="1">
        <v>16</v>
      </c>
      <c r="Q158" s="1">
        <v>0</v>
      </c>
    </row>
    <row r="159" spans="2:17" x14ac:dyDescent="0.2">
      <c r="B159" s="15" t="s">
        <v>333</v>
      </c>
      <c r="C159" s="15" t="s">
        <v>334</v>
      </c>
      <c r="D159" s="1">
        <v>8</v>
      </c>
      <c r="E159" s="21" t="s">
        <v>25</v>
      </c>
      <c r="F159" s="21"/>
      <c r="G159" s="15">
        <v>2</v>
      </c>
      <c r="H159" s="21" t="s">
        <v>34</v>
      </c>
      <c r="I159" s="15" t="s">
        <v>335</v>
      </c>
      <c r="J159" s="1">
        <f t="shared" si="29"/>
        <v>448</v>
      </c>
      <c r="K159" s="1">
        <f t="shared" si="26"/>
        <v>56</v>
      </c>
      <c r="L159" s="1">
        <f t="shared" si="27"/>
        <v>28</v>
      </c>
      <c r="M159" s="1">
        <f t="shared" si="28"/>
        <v>14</v>
      </c>
      <c r="N159" s="1" t="s">
        <v>106</v>
      </c>
      <c r="O159" s="3">
        <v>2</v>
      </c>
      <c r="P159" s="1">
        <v>17</v>
      </c>
      <c r="Q159" s="1">
        <v>0</v>
      </c>
    </row>
    <row r="160" spans="2:17" x14ac:dyDescent="0.2">
      <c r="B160" s="3" t="s">
        <v>336</v>
      </c>
      <c r="C160" s="3" t="s">
        <v>337</v>
      </c>
      <c r="D160" s="1">
        <v>24</v>
      </c>
      <c r="E160" s="21" t="s">
        <v>338</v>
      </c>
      <c r="F160" s="21"/>
      <c r="G160" s="15">
        <v>0</v>
      </c>
      <c r="H160" s="21" t="s">
        <v>34</v>
      </c>
      <c r="I160" s="21" t="s">
        <v>233</v>
      </c>
      <c r="J160" s="1">
        <f t="shared" si="29"/>
        <v>456</v>
      </c>
      <c r="K160" s="1">
        <f t="shared" si="26"/>
        <v>57</v>
      </c>
      <c r="L160" s="1">
        <f t="shared" si="27"/>
        <v>28.5</v>
      </c>
      <c r="M160" s="1">
        <f t="shared" si="28"/>
        <v>14.25</v>
      </c>
      <c r="N160" s="1" t="s">
        <v>28</v>
      </c>
      <c r="O160" s="3">
        <v>0</v>
      </c>
      <c r="P160" s="1">
        <v>0</v>
      </c>
      <c r="Q160" s="1">
        <v>0</v>
      </c>
    </row>
    <row r="161" spans="1:15" x14ac:dyDescent="0.2">
      <c r="A161" s="1" t="s">
        <v>45</v>
      </c>
      <c r="F161" s="21"/>
      <c r="G161" s="21"/>
      <c r="H161" s="21"/>
      <c r="I161" s="21"/>
      <c r="J161" s="1">
        <f t="shared" si="29"/>
        <v>480</v>
      </c>
      <c r="K161" s="1">
        <f t="shared" si="26"/>
        <v>60</v>
      </c>
      <c r="L161" s="1">
        <f t="shared" si="27"/>
        <v>30</v>
      </c>
      <c r="M161" s="1">
        <f t="shared" si="28"/>
        <v>15</v>
      </c>
    </row>
    <row r="162" spans="1:15" s="1" customFormat="1" x14ac:dyDescent="0.2">
      <c r="C162" s="3"/>
      <c r="H162" s="3"/>
      <c r="O162" s="3"/>
    </row>
  </sheetData>
  <mergeCells count="6">
    <mergeCell ref="B46:I46"/>
    <mergeCell ref="B1:I1"/>
    <mergeCell ref="B2:I2"/>
    <mergeCell ref="B3:I3"/>
    <mergeCell ref="B4:I4"/>
    <mergeCell ref="B5:I5"/>
  </mergeCells>
  <hyperlinks>
    <hyperlink ref="A113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I20"/>
  <sheetViews>
    <sheetView zoomScale="75" zoomScaleNormal="75" workbookViewId="0">
      <selection activeCell="F8" activeCellId="1" sqref="J159:M161 F8"/>
    </sheetView>
  </sheetViews>
  <sheetFormatPr defaultColWidth="9.28515625" defaultRowHeight="12.75" x14ac:dyDescent="0.2"/>
  <cols>
    <col min="3" max="3" width="20.5703125" customWidth="1"/>
    <col min="4" max="4" width="16.140625" customWidth="1"/>
    <col min="6" max="6" width="13.7109375" customWidth="1"/>
  </cols>
  <sheetData>
    <row r="6" spans="2:9" s="31" customFormat="1" ht="34.9" customHeight="1" x14ac:dyDescent="0.2">
      <c r="B6" s="32"/>
      <c r="C6" s="32" t="s">
        <v>339</v>
      </c>
      <c r="D6" s="32" t="s">
        <v>340</v>
      </c>
      <c r="E6" s="32" t="s">
        <v>341</v>
      </c>
      <c r="F6" s="32" t="s">
        <v>342</v>
      </c>
      <c r="G6" s="32" t="s">
        <v>343</v>
      </c>
      <c r="H6" s="32" t="s">
        <v>344</v>
      </c>
      <c r="I6" s="32"/>
    </row>
    <row r="7" spans="2:9" x14ac:dyDescent="0.2">
      <c r="B7" s="33"/>
      <c r="C7" s="33">
        <v>1</v>
      </c>
      <c r="D7" s="33">
        <f t="shared" ref="D7:D20" si="0">C7*64+8</f>
        <v>72</v>
      </c>
      <c r="E7" s="33">
        <v>1</v>
      </c>
      <c r="F7" s="33">
        <f t="shared" ref="F7:F20" si="1">(D7+(E7*32))</f>
        <v>104</v>
      </c>
      <c r="G7" s="33">
        <f t="shared" ref="G7:G20" si="2">(D7+(E7*32))*10</f>
        <v>1040</v>
      </c>
      <c r="H7" s="33">
        <f t="shared" ref="H7:H20" si="3">G7/1200</f>
        <v>0.8666666666666667</v>
      </c>
      <c r="I7" s="33"/>
    </row>
    <row r="8" spans="2:9" x14ac:dyDescent="0.2">
      <c r="B8" s="33"/>
      <c r="C8" s="33">
        <v>6</v>
      </c>
      <c r="D8" s="33">
        <f t="shared" si="0"/>
        <v>392</v>
      </c>
      <c r="E8" s="33">
        <v>2</v>
      </c>
      <c r="F8" s="33">
        <f t="shared" si="1"/>
        <v>456</v>
      </c>
      <c r="G8" s="33">
        <f t="shared" si="2"/>
        <v>4560</v>
      </c>
      <c r="H8" s="33">
        <f t="shared" si="3"/>
        <v>3.8</v>
      </c>
      <c r="I8" s="33"/>
    </row>
    <row r="9" spans="2:9" x14ac:dyDescent="0.2">
      <c r="B9" s="33"/>
      <c r="C9" s="33">
        <v>7</v>
      </c>
      <c r="D9" s="33">
        <f t="shared" si="0"/>
        <v>456</v>
      </c>
      <c r="E9" s="33">
        <v>3</v>
      </c>
      <c r="F9" s="33">
        <f t="shared" si="1"/>
        <v>552</v>
      </c>
      <c r="G9" s="33">
        <f t="shared" si="2"/>
        <v>5520</v>
      </c>
      <c r="H9" s="33">
        <f t="shared" si="3"/>
        <v>4.5999999999999996</v>
      </c>
      <c r="I9" s="33"/>
    </row>
    <row r="10" spans="2:9" x14ac:dyDescent="0.2">
      <c r="B10" s="33"/>
      <c r="C10" s="33">
        <v>8</v>
      </c>
      <c r="D10" s="33">
        <f t="shared" si="0"/>
        <v>520</v>
      </c>
      <c r="E10" s="33">
        <v>3</v>
      </c>
      <c r="F10" s="33">
        <f t="shared" si="1"/>
        <v>616</v>
      </c>
      <c r="G10" s="33">
        <f t="shared" si="2"/>
        <v>6160</v>
      </c>
      <c r="H10" s="33">
        <f t="shared" si="3"/>
        <v>5.1333333333333337</v>
      </c>
      <c r="I10" s="33"/>
    </row>
    <row r="11" spans="2:9" x14ac:dyDescent="0.2">
      <c r="B11" s="33"/>
      <c r="C11" s="33">
        <v>9</v>
      </c>
      <c r="D11" s="33">
        <f t="shared" si="0"/>
        <v>584</v>
      </c>
      <c r="E11" s="33">
        <v>3</v>
      </c>
      <c r="F11" s="33">
        <f t="shared" si="1"/>
        <v>680</v>
      </c>
      <c r="G11" s="33">
        <f t="shared" si="2"/>
        <v>6800</v>
      </c>
      <c r="H11" s="33">
        <f t="shared" si="3"/>
        <v>5.666666666666667</v>
      </c>
      <c r="I11" s="33"/>
    </row>
    <row r="12" spans="2:9" x14ac:dyDescent="0.2">
      <c r="B12" s="33"/>
      <c r="C12" s="33">
        <v>10</v>
      </c>
      <c r="D12" s="33">
        <f t="shared" si="0"/>
        <v>648</v>
      </c>
      <c r="E12" s="33">
        <v>3</v>
      </c>
      <c r="F12" s="33">
        <f t="shared" si="1"/>
        <v>744</v>
      </c>
      <c r="G12" s="33">
        <f t="shared" si="2"/>
        <v>7440</v>
      </c>
      <c r="H12" s="33">
        <f t="shared" si="3"/>
        <v>6.2</v>
      </c>
      <c r="I12" s="33"/>
    </row>
    <row r="13" spans="2:9" x14ac:dyDescent="0.2">
      <c r="B13" s="33"/>
      <c r="C13" s="33">
        <v>11</v>
      </c>
      <c r="D13" s="33">
        <f t="shared" si="0"/>
        <v>712</v>
      </c>
      <c r="E13" s="33">
        <v>4</v>
      </c>
      <c r="F13" s="33">
        <f t="shared" si="1"/>
        <v>840</v>
      </c>
      <c r="G13" s="33">
        <f t="shared" si="2"/>
        <v>8400</v>
      </c>
      <c r="H13" s="33">
        <f t="shared" si="3"/>
        <v>7</v>
      </c>
      <c r="I13" s="33"/>
    </row>
    <row r="14" spans="2:9" x14ac:dyDescent="0.2">
      <c r="B14" s="33"/>
      <c r="C14" s="33">
        <v>12</v>
      </c>
      <c r="D14" s="33">
        <f t="shared" si="0"/>
        <v>776</v>
      </c>
      <c r="E14" s="33">
        <v>4</v>
      </c>
      <c r="F14" s="33">
        <f t="shared" si="1"/>
        <v>904</v>
      </c>
      <c r="G14" s="33">
        <f t="shared" si="2"/>
        <v>9040</v>
      </c>
      <c r="H14" s="33">
        <f t="shared" si="3"/>
        <v>7.5333333333333332</v>
      </c>
      <c r="I14" s="33"/>
    </row>
    <row r="15" spans="2:9" x14ac:dyDescent="0.2">
      <c r="B15" s="33"/>
      <c r="C15" s="33">
        <v>13</v>
      </c>
      <c r="D15" s="33">
        <f t="shared" si="0"/>
        <v>840</v>
      </c>
      <c r="E15" s="33">
        <v>4</v>
      </c>
      <c r="F15" s="33">
        <f t="shared" si="1"/>
        <v>968</v>
      </c>
      <c r="G15" s="33">
        <f t="shared" si="2"/>
        <v>9680</v>
      </c>
      <c r="H15" s="33">
        <f t="shared" si="3"/>
        <v>8.0666666666666664</v>
      </c>
      <c r="I15" s="33"/>
    </row>
    <row r="16" spans="2:9" x14ac:dyDescent="0.2">
      <c r="B16" s="33"/>
      <c r="C16" s="33">
        <v>14</v>
      </c>
      <c r="D16" s="33">
        <f t="shared" si="0"/>
        <v>904</v>
      </c>
      <c r="E16" s="33">
        <v>5</v>
      </c>
      <c r="F16" s="33">
        <f t="shared" si="1"/>
        <v>1064</v>
      </c>
      <c r="G16" s="33">
        <f t="shared" si="2"/>
        <v>10640</v>
      </c>
      <c r="H16" s="33">
        <f t="shared" si="3"/>
        <v>8.8666666666666671</v>
      </c>
      <c r="I16" s="33"/>
    </row>
    <row r="17" spans="2:9" x14ac:dyDescent="0.2">
      <c r="B17" s="33"/>
      <c r="C17" s="33">
        <v>15</v>
      </c>
      <c r="D17" s="33">
        <f t="shared" si="0"/>
        <v>968</v>
      </c>
      <c r="E17" s="33">
        <v>5</v>
      </c>
      <c r="F17" s="33">
        <f t="shared" si="1"/>
        <v>1128</v>
      </c>
      <c r="G17" s="33">
        <f t="shared" si="2"/>
        <v>11280</v>
      </c>
      <c r="H17" s="33">
        <f t="shared" si="3"/>
        <v>9.4</v>
      </c>
      <c r="I17" s="33"/>
    </row>
    <row r="18" spans="2:9" x14ac:dyDescent="0.2">
      <c r="B18" s="33"/>
      <c r="C18" s="33">
        <v>16</v>
      </c>
      <c r="D18" s="33">
        <f t="shared" si="0"/>
        <v>1032</v>
      </c>
      <c r="E18" s="33">
        <v>5</v>
      </c>
      <c r="F18" s="33">
        <f t="shared" si="1"/>
        <v>1192</v>
      </c>
      <c r="G18" s="33">
        <f t="shared" si="2"/>
        <v>11920</v>
      </c>
      <c r="H18" s="33">
        <f t="shared" si="3"/>
        <v>9.9333333333333336</v>
      </c>
      <c r="I18" s="33"/>
    </row>
    <row r="19" spans="2:9" x14ac:dyDescent="0.2">
      <c r="B19" s="33"/>
      <c r="C19" s="33">
        <v>17</v>
      </c>
      <c r="D19" s="33">
        <f t="shared" si="0"/>
        <v>1096</v>
      </c>
      <c r="E19" s="33">
        <v>5</v>
      </c>
      <c r="F19" s="33">
        <f t="shared" si="1"/>
        <v>1256</v>
      </c>
      <c r="G19" s="33">
        <f t="shared" si="2"/>
        <v>12560</v>
      </c>
      <c r="H19" s="33">
        <f t="shared" si="3"/>
        <v>10.466666666666667</v>
      </c>
      <c r="I19" s="33"/>
    </row>
    <row r="20" spans="2:9" x14ac:dyDescent="0.2">
      <c r="B20" s="33"/>
      <c r="C20" s="33">
        <v>18</v>
      </c>
      <c r="D20" s="33">
        <f t="shared" si="0"/>
        <v>1160</v>
      </c>
      <c r="E20" s="33">
        <v>6</v>
      </c>
      <c r="F20" s="33">
        <f t="shared" si="1"/>
        <v>1352</v>
      </c>
      <c r="G20" s="33">
        <f t="shared" si="2"/>
        <v>13520</v>
      </c>
      <c r="H20" s="33">
        <f t="shared" si="3"/>
        <v>11.266666666666667</v>
      </c>
      <c r="I20" s="3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95247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DownlinkSpecPacsat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Burns Fisher</dc:creator>
  <dc:description/>
  <cp:lastModifiedBy>Chris Thompson</cp:lastModifiedBy>
  <cp:revision>474</cp:revision>
  <cp:lastPrinted>2020-05-23T22:47:22Z</cp:lastPrinted>
  <dcterms:created xsi:type="dcterms:W3CDTF">2016-12-05T14:24:42Z</dcterms:created>
  <dcterms:modified xsi:type="dcterms:W3CDTF">2026-03-30T23:42:44Z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