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<sst xmlns="http://schemas.openxmlformats.org/spreadsheetml/2006/main" count="878" uniqueCount="376">
  <si>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</si>
  <si>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</si>
  <si>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</si>
  <si>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</si>
  <si>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</si>
  <si>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</si>
  <si>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</si>
  <si>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</si>
  <si>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</si>
  <si>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</si>
  <si>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</si>
  <si>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</si>
  <si>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</si>
  <si>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</si>
  <si>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</si>
  <si>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</si>
  <si>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</si>
  <si>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</si>
  <si>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</si>
  <si>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</si>
  <si>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</si>
  <si>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</si>
  <si>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</si>
  <si>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</si>
  <si>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</si>
  <si>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</si>
  <si>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</si>
  <si>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</si>
  <si>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</si>
  <si>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</si>
  <si>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</si>
  <si>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</si>
  <si>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</si>
  <si>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</si>
  <si>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</si>
  <si>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</si>
  <si>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</si>
  <si>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</si>
  <si>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</si>
  <si>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</si>
  <si>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</si>
  <si>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</si>
  <si>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</si>
  <si>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</si>
  <si>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</si>
  <si>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</si>
  <si>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</si>
  <si>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commonPayload is common to realtime,  hi/low, and WOD,  These are all used to calculate hi/low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</si>
  <si>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</si>
  <si>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</si>
  <si>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</si>
  <si>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</si>
  <si>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</si>
  <si>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</si>
  <si>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</si>
  <si>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</si>
  <si>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</si>
  <si>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</si>
  <si>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</si>
  <si>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</si>
  <si>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</si>
  <si>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</si>
  <si>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</si>
  <si>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</si>
  <si>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</si>
  <si>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</si>
  <si>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</si>
  <si>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</si>
  <si>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</si>
  <si>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Pwr Mode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</si>
  <si>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</si>
  <si>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</si>
  <si>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</si>
  <si>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</si>
  <si>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</si>
  <si>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</si>
  <si>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</si>
  <si>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</si>
  <si>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</si>
  <si>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</si>
  <si>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</si>
  <si>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</si>
  <si>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</si>
  <si>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</si>
  <si>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</si>
  <si>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</si>
  <si>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</si>
  <si>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</si>
  <si>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</si>
  <si>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</si>
  <si>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</si>
  <si>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</si>
  <si>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</si>
  <si>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</si>
  <si>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</si>
  <si>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RSSI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</si>
  <si>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</si>
  <si>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</si>
  <si>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</si>
  <si>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</si>
  <si>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</si>
  <si>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</si>
  <si>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</si>
  <si>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</si>
  <si>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</si>
  <si>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</si>
  <si>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</si>
  <si>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</si>
  <si>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</si>
  <si>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</si>
  <si>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</si>
  <si>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</si>
  <si>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</si>
  <si>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</si>
  <si>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</si>
  <si>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</si>
  <si>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3V3</t>
  </si>
  <si>
    <t xml:space="preserve">VoltageVal3v3</t>
  </si>
  <si>
    <t xml:space="preserve">V</t>
  </si>
  <si>
    <t xml:space="preserve">Voltage of the 3V3 rail</t>
  </si>
  <si>
    <t xml:space="preserve">5V</t>
  </si>
  <si>
    <t xml:space="preserve">VoltageVal5v</t>
  </si>
  <si>
    <t xml:space="preserve">Voltage of the 5V rail</t>
  </si>
  <si>
    <t xml:space="preserve">1V2</t>
  </si>
  <si>
    <t xml:space="preserve">VoltageVal1v2</t>
  </si>
  <si>
    <t xml:space="preserve">Voltage of the 1V2 rail</t>
  </si>
  <si>
    <t xml:space="preserve">Battery</t>
  </si>
  <si>
    <t xml:space="preserve">VoltageValBattery</t>
  </si>
  <si>
    <t xml:space="preserve">Voltage of the battery</t>
  </si>
  <si>
    <t xml:space="preserve">Filler</t>
  </si>
  <si>
    <t xml:space="preserve">pad0</t>
  </si>
  <si>
    <t xml:space="preserve">Fill to 32 bits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</si>
  <si>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</si>
  <si>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</si>
  <si>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</si>
  <si>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</si>
  <si>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</si>
  <si>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</si>
  <si>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</si>
  <si>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</si>
  <si>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</si>
  <si>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</si>
  <si>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</si>
  <si>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</si>
  <si>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</si>
  <si>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</si>
  <si>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</si>
  <si>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</si>
  <si>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</si>
  <si>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</si>
  <si>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</si>
  <si>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Power 5V</t>
  </si>
  <si>
    <t xml:space="preserve">PowerFlag5V</t>
  </si>
  <si>
    <t xml:space="preserve">5V Power is enabled</t>
  </si>
  <si>
    <t xml:space="preserve">Power LNA</t>
  </si>
  <si>
    <t xml:space="preserve">PowerFlagLNA</t>
  </si>
  <si>
    <t xml:space="preserve">LNA is power is enabled</t>
  </si>
  <si>
    <t xml:space="preserve">Power SSPA</t>
  </si>
  <si>
    <t xml:space="preserve">PowerFlagSSPA</t>
  </si>
  <si>
    <t xml:space="preserve">SSPA Power is enabled</t>
  </si>
  <si>
    <t xml:space="preserve">Power Radios</t>
  </si>
  <si>
    <t xml:space="preserve">PowerFlagAx5043</t>
  </si>
  <si>
    <t xml:space="preserve">Radio Power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</si>
  <si>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</si>
  <si>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</si>
  <si>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</si>
  <si>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</si>
  <si>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</si>
  <si>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</si>
  <si>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</si>
  <si>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</si>
  <si>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</si>
  <si>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</si>
  <si>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</si>
  <si>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</si>
  <si>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</si>
  <si>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</si>
  <si>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</si>
  <si>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</si>
  <si>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</si>
  <si>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</si>
  <si>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</si>
  <si>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</si>
  <si>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</si>
  <si>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</si>
  <si>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</si>
  <si>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</si>
  <si>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</si>
  <si>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</si>
  <si>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</si>
  <si>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</si>
  <si>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</si>
  <si>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</si>
  <si>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</si>
  <si>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</si>
  <si>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</si>
  <si>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</si>
  <si>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</si>
  <si>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</si>
  <si>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</si>
  <si>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</si>
  <si>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</si>
  <si>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pad203</t>
  </si>
  <si>
    <t xml:space="preserve">Fill to align to 32 bits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</si>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</sst>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7" colorId="64" zoomScale="75" zoomScaleNormal="75" zoomScalePageLayoutView="100" workbookViewId="0">
      <selection pane="topLeft" activeCell="C46" activeCellId="0" sqref="C46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2" width="53"/>
    <col collapsed="false" customWidth="true" hidden="false" outlineLevel="0" max="3" min="3" style="3" width="31.28"/>
    <col collapsed="false" customWidth="false" hidden="false" outlineLevel="0" max="4" min="4" style="1" width="8.71"/>
    <col collapsed="false" customWidth="true" hidden="false" outlineLevel="0" max="5" min="5" style="1" width="22.01"/>
    <col collapsed="false" customWidth="true" hidden="false" outlineLevel="0" max="6" min="6" style="1" width="10.42"/>
    <col collapsed="false" customWidth="true" hidden="false" outlineLevel="0" max="7" min="7" style="1" width="24"/>
    <col collapsed="false" customWidth="false" hidden="false" outlineLevel="0" max="8" min="8" style="3" width="8.71"/>
    <col collapsed="false" customWidth="true" hidden="false" outlineLevel="0" max="9" min="9" style="1" width="50"/>
    <col collapsed="false" customWidth="true" hidden="false" outlineLevel="0" max="13" min="10" style="1" width="8.86"/>
    <col collapsed="false" customWidth="true" hidden="false" outlineLevel="0" max="14" min="14" style="1" width="18.71"/>
    <col collapsed="false" customWidth="true" hidden="false" outlineLevel="0" max="15" min="15" style="3" width="9"/>
    <col collapsed="false" customWidth="true" hidden="false" outlineLevel="0" max="16" min="16" style="1" width="13.29"/>
    <col collapsed="false" customWidth="false" hidden="false" outlineLevel="0" max="1024" min="17" style="1" width="8.71"/>
  </cols>
  <sheetData>
    <row r="1" customFormat="false" ht="32.25" hidden="false" customHeight="true" outlineLevel="0" collapsed="false">
      <c r="A1" s="1" t="s">
        <v>0</v>
      </c>
      <c r="B1" s="4" t="s">
        <v>1</v>
      </c>
      <c r="C1" s="4"/>
      <c r="D1" s="4"/>
      <c r="E1" s="4"/>
      <c r="F1" s="4"/>
      <c r="G1" s="4"/>
      <c r="H1" s="4"/>
      <c r="I1" s="4"/>
    </row>
    <row r="2" customFormat="false" ht="14.25" hidden="false" customHeight="true" outlineLevel="0" collapsed="false">
      <c r="A2" s="1" t="s">
        <v>0</v>
      </c>
      <c r="B2" s="5" t="s">
        <v>2</v>
      </c>
      <c r="C2" s="5"/>
      <c r="D2" s="5"/>
      <c r="E2" s="5"/>
      <c r="F2" s="5"/>
      <c r="G2" s="5"/>
      <c r="H2" s="5"/>
      <c r="I2" s="5"/>
    </row>
    <row r="3" customFormat="false" ht="12.75" hidden="false" customHeight="true" outlineLevel="0" collapsed="false">
      <c r="A3" s="1" t="s">
        <v>0</v>
      </c>
      <c r="B3" s="5" t="s">
        <v>3</v>
      </c>
      <c r="C3" s="5"/>
      <c r="D3" s="5"/>
      <c r="E3" s="5"/>
      <c r="F3" s="5"/>
      <c r="G3" s="5"/>
      <c r="H3" s="5"/>
      <c r="I3" s="5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.7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.7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customFormat="false" ht="30" hidden="false" customHeight="false" outlineLevel="0" collapsed="false">
      <c r="B9" s="18" t="s">
        <v>24</v>
      </c>
      <c r="C9" s="18" t="s">
        <v>24</v>
      </c>
      <c r="D9" s="18" t="n">
        <v>32</v>
      </c>
      <c r="E9" s="18" t="s">
        <v>25</v>
      </c>
      <c r="F9" s="18"/>
      <c r="G9" s="18" t="n">
        <v>0</v>
      </c>
      <c r="H9" s="18" t="s">
        <v>26</v>
      </c>
      <c r="I9" s="19" t="s">
        <v>27</v>
      </c>
      <c r="J9" s="1" t="n">
        <f aca="false">J7+D7</f>
        <v>0</v>
      </c>
      <c r="K9" s="1" t="n">
        <f aca="false">J9/8</f>
        <v>0</v>
      </c>
      <c r="L9" s="1" t="n">
        <f aca="false">J9/16</f>
        <v>0</v>
      </c>
      <c r="M9" s="1" t="n">
        <f aca="false">J9/32</f>
        <v>0</v>
      </c>
      <c r="N9" s="1" t="s">
        <v>28</v>
      </c>
      <c r="O9" s="3" t="n">
        <v>0</v>
      </c>
      <c r="P9" s="1" t="n">
        <v>0</v>
      </c>
      <c r="Q9" s="1" t="n">
        <v>0</v>
      </c>
    </row>
    <row r="10" customFormat="false" ht="30" hidden="false" customHeight="false" outlineLevel="0" collapsed="false">
      <c r="B10" s="18" t="s">
        <v>29</v>
      </c>
      <c r="C10" s="18" t="s">
        <v>29</v>
      </c>
      <c r="D10" s="18" t="n">
        <v>16</v>
      </c>
      <c r="E10" s="18" t="s">
        <v>25</v>
      </c>
      <c r="F10" s="18"/>
      <c r="G10" s="18" t="n">
        <v>0</v>
      </c>
      <c r="H10" s="18" t="s">
        <v>30</v>
      </c>
      <c r="I10" s="19" t="s">
        <v>31</v>
      </c>
      <c r="J10" s="1" t="n">
        <f aca="false">J9+D9</f>
        <v>32</v>
      </c>
      <c r="K10" s="1" t="n">
        <f aca="false">J10/8</f>
        <v>4</v>
      </c>
      <c r="L10" s="1" t="n">
        <f aca="false">J10/16</f>
        <v>2</v>
      </c>
      <c r="M10" s="1" t="n">
        <f aca="false">J10/32</f>
        <v>1</v>
      </c>
      <c r="N10" s="1" t="s">
        <v>28</v>
      </c>
      <c r="O10" s="3" t="n">
        <v>0</v>
      </c>
      <c r="P10" s="1" t="n">
        <v>0</v>
      </c>
      <c r="Q10" s="1" t="n">
        <v>0</v>
      </c>
    </row>
    <row r="11" customFormat="false" ht="37.5" hidden="false" customHeight="true" outlineLevel="0" collapsed="false">
      <c r="B11" s="18" t="s">
        <v>32</v>
      </c>
      <c r="C11" s="18" t="s">
        <v>33</v>
      </c>
      <c r="D11" s="18" t="n">
        <v>8</v>
      </c>
      <c r="E11" s="18" t="s">
        <v>25</v>
      </c>
      <c r="F11" s="18"/>
      <c r="G11" s="18" t="n">
        <v>0</v>
      </c>
      <c r="H11" s="18" t="s">
        <v>34</v>
      </c>
      <c r="I11" s="19" t="s">
        <v>35</v>
      </c>
      <c r="J11" s="1" t="n">
        <f aca="false">J10+D10</f>
        <v>48</v>
      </c>
      <c r="K11" s="1" t="n">
        <f aca="false">J11/8</f>
        <v>6</v>
      </c>
      <c r="L11" s="1" t="n">
        <f aca="false">J11/16</f>
        <v>3</v>
      </c>
      <c r="M11" s="1" t="n">
        <f aca="false">J11/32</f>
        <v>1.5</v>
      </c>
      <c r="N11" s="1" t="s">
        <v>28</v>
      </c>
      <c r="O11" s="3" t="n">
        <v>0</v>
      </c>
      <c r="P11" s="1" t="n">
        <v>0</v>
      </c>
      <c r="Q11" s="1" t="n">
        <v>0</v>
      </c>
    </row>
    <row r="12" customFormat="false" ht="37.5" hidden="false" customHeight="true" outlineLevel="0" collapsed="false">
      <c r="B12" s="18" t="s">
        <v>36</v>
      </c>
      <c r="C12" s="18" t="s">
        <v>37</v>
      </c>
      <c r="D12" s="18" t="n">
        <v>8</v>
      </c>
      <c r="E12" s="18" t="s">
        <v>25</v>
      </c>
      <c r="F12" s="18"/>
      <c r="G12" s="18" t="n">
        <v>0</v>
      </c>
      <c r="H12" s="18" t="s">
        <v>34</v>
      </c>
      <c r="I12" s="19" t="s">
        <v>38</v>
      </c>
      <c r="J12" s="1" t="n">
        <f aca="false">J11+D11</f>
        <v>56</v>
      </c>
      <c r="K12" s="1" t="n">
        <f aca="false">J12/8</f>
        <v>7</v>
      </c>
      <c r="L12" s="1" t="n">
        <f aca="false">J12/16</f>
        <v>3.5</v>
      </c>
      <c r="M12" s="1" t="n">
        <f aca="false">J12/32</f>
        <v>1.75</v>
      </c>
      <c r="N12" s="1" t="s">
        <v>28</v>
      </c>
      <c r="O12" s="3" t="n">
        <v>0</v>
      </c>
      <c r="P12" s="1" t="n">
        <v>0</v>
      </c>
      <c r="Q12" s="1" t="n">
        <v>0</v>
      </c>
    </row>
    <row r="13" customFormat="false" ht="37.5" hidden="false" customHeight="true" outlineLevel="0" collapsed="false">
      <c r="B13" s="18" t="s">
        <v>39</v>
      </c>
      <c r="C13" s="18" t="s">
        <v>40</v>
      </c>
      <c r="D13" s="18" t="n">
        <v>8</v>
      </c>
      <c r="E13" s="18" t="s">
        <v>25</v>
      </c>
      <c r="F13" s="18"/>
      <c r="G13" s="18" t="n">
        <v>0</v>
      </c>
      <c r="H13" s="18" t="s">
        <v>34</v>
      </c>
      <c r="I13" s="19" t="s">
        <v>38</v>
      </c>
      <c r="J13" s="1" t="n">
        <f aca="false">J12+D12</f>
        <v>64</v>
      </c>
      <c r="K13" s="1" t="n">
        <f aca="false">J13/8</f>
        <v>8</v>
      </c>
      <c r="L13" s="1" t="n">
        <f aca="false">J13/16</f>
        <v>4</v>
      </c>
      <c r="M13" s="1" t="n">
        <f aca="false">J13/32</f>
        <v>2</v>
      </c>
      <c r="N13" s="1" t="s">
        <v>28</v>
      </c>
      <c r="O13" s="3" t="n">
        <v>0</v>
      </c>
      <c r="P13" s="1" t="n">
        <v>0</v>
      </c>
      <c r="Q13" s="1" t="n">
        <v>0</v>
      </c>
    </row>
    <row r="14" customFormat="false" ht="37.5" hidden="false" customHeight="true" outlineLevel="0" collapsed="false">
      <c r="B14" s="18" t="s">
        <v>41</v>
      </c>
      <c r="C14" s="18" t="s">
        <v>42</v>
      </c>
      <c r="D14" s="18" t="n">
        <v>8</v>
      </c>
      <c r="E14" s="18" t="s">
        <v>25</v>
      </c>
      <c r="F14" s="18"/>
      <c r="G14" s="18" t="n">
        <v>10</v>
      </c>
      <c r="H14" s="18"/>
      <c r="I14" s="19" t="s">
        <v>43</v>
      </c>
      <c r="J14" s="1" t="n">
        <f aca="false">J13+D13</f>
        <v>72</v>
      </c>
      <c r="K14" s="1" t="n">
        <f aca="false">J14/8</f>
        <v>9</v>
      </c>
      <c r="L14" s="1" t="n">
        <f aca="false">J14/16</f>
        <v>4.5</v>
      </c>
      <c r="M14" s="1" t="n">
        <f aca="false">J14/32</f>
        <v>2.25</v>
      </c>
      <c r="N14" s="1" t="s">
        <v>44</v>
      </c>
      <c r="O14" s="3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0" t="s">
        <v>45</v>
      </c>
      <c r="C15" s="2"/>
      <c r="F15" s="20"/>
      <c r="G15" s="20"/>
      <c r="H15" s="2"/>
      <c r="I15" s="20" t="s">
        <v>46</v>
      </c>
      <c r="J15" s="1" t="n">
        <f aca="false">J14+D14</f>
        <v>80</v>
      </c>
      <c r="K15" s="1" t="n">
        <f aca="false">J15/8</f>
        <v>10</v>
      </c>
      <c r="L15" s="1" t="n">
        <f aca="false">J15/16</f>
        <v>5</v>
      </c>
      <c r="M15" s="1" t="n">
        <f aca="false">J15/32</f>
        <v>2.5</v>
      </c>
    </row>
    <row r="16" customFormat="false" ht="15" hidden="false" customHeight="false" outlineLevel="0" collapsed="false">
      <c r="B16" s="20"/>
    </row>
    <row r="17" customFormat="false" ht="15" hidden="false" customHeight="false" outlineLevel="0" collapsed="false">
      <c r="B17" s="20"/>
    </row>
    <row r="18" customFormat="false" ht="15" hidden="false" customHeight="true" outlineLevel="0" collapsed="false">
      <c r="A18" s="1" t="s">
        <v>0</v>
      </c>
      <c r="B18" s="6" t="s">
        <v>47</v>
      </c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1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="13" customFormat="true" ht="15.75" hidden="false" customHeight="false" outlineLevel="0" collapsed="false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customFormat="false" ht="15" hidden="false" customHeight="false" outlineLevel="0" collapsed="false">
      <c r="B21" s="23" t="s">
        <v>49</v>
      </c>
      <c r="C21" s="23" t="s">
        <v>50</v>
      </c>
      <c r="D21" s="23" t="n">
        <v>32</v>
      </c>
      <c r="E21" s="19" t="s">
        <v>25</v>
      </c>
      <c r="F21" s="19"/>
      <c r="G21" s="18" t="n">
        <v>11</v>
      </c>
      <c r="H21" s="18" t="s">
        <v>51</v>
      </c>
      <c r="I21" s="19" t="s">
        <v>52</v>
      </c>
      <c r="J21" s="22" t="n">
        <v>0</v>
      </c>
      <c r="K21" s="22" t="n">
        <f aca="false">J21/8</f>
        <v>0</v>
      </c>
      <c r="L21" s="22" t="n">
        <f aca="false">J21/16</f>
        <v>0</v>
      </c>
      <c r="M21" s="22" t="n">
        <f aca="false">J21/32</f>
        <v>0</v>
      </c>
      <c r="N21" s="1" t="s">
        <v>53</v>
      </c>
      <c r="O21" s="3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3" t="s">
        <v>54</v>
      </c>
      <c r="C22" s="23" t="s">
        <v>55</v>
      </c>
      <c r="D22" s="23" t="n">
        <v>16</v>
      </c>
      <c r="E22" s="19" t="s">
        <v>25</v>
      </c>
      <c r="F22" s="19"/>
      <c r="G22" s="18" t="n">
        <v>12</v>
      </c>
      <c r="H22" s="18" t="s">
        <v>34</v>
      </c>
      <c r="I22" s="19" t="s">
        <v>56</v>
      </c>
      <c r="J22" s="1" t="n">
        <f aca="false">J21+D21</f>
        <v>32</v>
      </c>
      <c r="K22" s="1" t="n">
        <f aca="false">J22/8</f>
        <v>4</v>
      </c>
      <c r="L22" s="1" t="n">
        <f aca="false">J22/16</f>
        <v>2</v>
      </c>
      <c r="M22" s="1" t="n">
        <f aca="false">J22/32</f>
        <v>1</v>
      </c>
      <c r="N22" s="1" t="s">
        <v>53</v>
      </c>
      <c r="O22" s="3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3" t="s">
        <v>57</v>
      </c>
      <c r="C23" s="23" t="s">
        <v>58</v>
      </c>
      <c r="D23" s="23" t="n">
        <v>8</v>
      </c>
      <c r="E23" s="19" t="s">
        <v>25</v>
      </c>
      <c r="F23" s="19"/>
      <c r="G23" s="18" t="n">
        <v>2</v>
      </c>
      <c r="H23" s="18" t="s">
        <v>34</v>
      </c>
      <c r="I23" s="19" t="s">
        <v>59</v>
      </c>
      <c r="J23" s="1" t="n">
        <f aca="false">J22+D22</f>
        <v>48</v>
      </c>
      <c r="K23" s="1" t="n">
        <f aca="false">J23/8</f>
        <v>6</v>
      </c>
      <c r="L23" s="1" t="n">
        <f aca="false">J23/16</f>
        <v>3</v>
      </c>
      <c r="M23" s="1" t="n">
        <f aca="false">J23/32</f>
        <v>1.5</v>
      </c>
      <c r="N23" s="1" t="s">
        <v>53</v>
      </c>
      <c r="O23" s="3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3" t="s">
        <v>60</v>
      </c>
      <c r="C24" s="23" t="s">
        <v>61</v>
      </c>
      <c r="D24" s="23" t="n">
        <v>8</v>
      </c>
      <c r="E24" s="19" t="s">
        <v>25</v>
      </c>
      <c r="F24" s="19"/>
      <c r="G24" s="18" t="n">
        <v>2</v>
      </c>
      <c r="H24" s="18" t="s">
        <v>34</v>
      </c>
      <c r="I24" s="19" t="s">
        <v>62</v>
      </c>
      <c r="J24" s="1" t="n">
        <f aca="false">J23+D23</f>
        <v>56</v>
      </c>
      <c r="K24" s="1" t="n">
        <f aca="false">J24/8</f>
        <v>7</v>
      </c>
      <c r="L24" s="1" t="n">
        <f aca="false">J24/16</f>
        <v>3.5</v>
      </c>
      <c r="M24" s="1" t="n">
        <f aca="false">J24/32</f>
        <v>1.75</v>
      </c>
      <c r="N24" s="1" t="s">
        <v>53</v>
      </c>
      <c r="O24" s="3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3" t="s">
        <v>63</v>
      </c>
      <c r="C25" s="23" t="s">
        <v>64</v>
      </c>
      <c r="D25" s="23" t="n">
        <v>8</v>
      </c>
      <c r="E25" s="19" t="s">
        <v>65</v>
      </c>
      <c r="F25" s="19"/>
      <c r="G25" s="18" t="n">
        <v>4</v>
      </c>
      <c r="H25" s="18" t="s">
        <v>66</v>
      </c>
      <c r="I25" s="19" t="s">
        <v>67</v>
      </c>
      <c r="J25" s="1" t="n">
        <f aca="false">J24+D24</f>
        <v>64</v>
      </c>
      <c r="K25" s="1" t="n">
        <f aca="false">J25/8</f>
        <v>8</v>
      </c>
      <c r="L25" s="1" t="n">
        <f aca="false">J25/16</f>
        <v>4</v>
      </c>
      <c r="M25" s="1" t="n">
        <f aca="false">J25/32</f>
        <v>2</v>
      </c>
      <c r="N25" s="1" t="s">
        <v>68</v>
      </c>
      <c r="O25" s="3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3" t="s">
        <v>69</v>
      </c>
      <c r="C26" s="23" t="s">
        <v>70</v>
      </c>
      <c r="D26" s="23" t="n">
        <v>8</v>
      </c>
      <c r="E26" s="19" t="s">
        <v>65</v>
      </c>
      <c r="F26" s="19"/>
      <c r="G26" s="18" t="n">
        <v>5</v>
      </c>
      <c r="H26" s="18" t="s">
        <v>34</v>
      </c>
      <c r="I26" s="19" t="s">
        <v>71</v>
      </c>
      <c r="J26" s="1" t="n">
        <f aca="false">J25+D25</f>
        <v>72</v>
      </c>
      <c r="K26" s="1" t="n">
        <f aca="false">J26/8</f>
        <v>9</v>
      </c>
      <c r="L26" s="1" t="n">
        <f aca="false">J26/16</f>
        <v>4.5</v>
      </c>
      <c r="M26" s="1" t="n">
        <f aca="false">J26/32</f>
        <v>2.25</v>
      </c>
      <c r="N26" s="1" t="s">
        <v>68</v>
      </c>
      <c r="O26" s="3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3" t="s">
        <v>72</v>
      </c>
      <c r="C27" s="23" t="s">
        <v>73</v>
      </c>
      <c r="D27" s="23" t="n">
        <v>8</v>
      </c>
      <c r="E27" s="19" t="s">
        <v>65</v>
      </c>
      <c r="F27" s="19"/>
      <c r="G27" s="18" t="n">
        <v>13</v>
      </c>
      <c r="H27" s="18" t="s">
        <v>34</v>
      </c>
      <c r="I27" s="19" t="s">
        <v>74</v>
      </c>
      <c r="J27" s="1" t="n">
        <f aca="false">J26+D26</f>
        <v>80</v>
      </c>
      <c r="K27" s="1" t="n">
        <f aca="false">J27/8</f>
        <v>10</v>
      </c>
      <c r="L27" s="1" t="n">
        <f aca="false">J27/16</f>
        <v>5</v>
      </c>
      <c r="M27" s="1" t="n">
        <f aca="false">J27/32</f>
        <v>2.5</v>
      </c>
      <c r="N27" s="1" t="s">
        <v>68</v>
      </c>
      <c r="O27" s="3" t="n">
        <v>4</v>
      </c>
      <c r="P27" s="1" t="n">
        <v>2</v>
      </c>
      <c r="Q27" s="1" t="n">
        <v>0</v>
      </c>
    </row>
    <row r="28" customFormat="false" ht="15" hidden="false" customHeight="false" outlineLevel="0" collapsed="false">
      <c r="B28" s="23" t="s">
        <v>69</v>
      </c>
      <c r="C28" s="23" t="s">
        <v>75</v>
      </c>
      <c r="D28" s="23" t="n">
        <v>8</v>
      </c>
      <c r="E28" s="19" t="s">
        <v>25</v>
      </c>
      <c r="F28" s="19"/>
      <c r="G28" s="18" t="n">
        <v>5</v>
      </c>
      <c r="H28" s="18" t="s">
        <v>34</v>
      </c>
      <c r="I28" s="19" t="s">
        <v>76</v>
      </c>
      <c r="J28" s="1" t="n">
        <f aca="false">J27+D27</f>
        <v>88</v>
      </c>
      <c r="K28" s="1" t="n">
        <f aca="false">J28/8</f>
        <v>11</v>
      </c>
      <c r="L28" s="1" t="n">
        <f aca="false">J28/16</f>
        <v>5.5</v>
      </c>
      <c r="M28" s="1" t="n">
        <f aca="false">J28/32</f>
        <v>2.75</v>
      </c>
      <c r="N28" s="1" t="s">
        <v>77</v>
      </c>
      <c r="O28" s="3" t="n">
        <v>5</v>
      </c>
      <c r="P28" s="1" t="n">
        <v>1</v>
      </c>
      <c r="Q28" s="1" t="n">
        <v>0</v>
      </c>
    </row>
    <row r="29" customFormat="false" ht="15" hidden="false" customHeight="false" outlineLevel="0" collapsed="false">
      <c r="B29" s="23" t="s">
        <v>69</v>
      </c>
      <c r="C29" s="23" t="s">
        <v>78</v>
      </c>
      <c r="D29" s="23" t="n">
        <v>8</v>
      </c>
      <c r="E29" s="19" t="s">
        <v>25</v>
      </c>
      <c r="F29" s="19"/>
      <c r="G29" s="18" t="n">
        <v>5</v>
      </c>
      <c r="H29" s="18" t="s">
        <v>34</v>
      </c>
      <c r="I29" s="19" t="s">
        <v>79</v>
      </c>
      <c r="J29" s="1" t="n">
        <f aca="false">J28+D28</f>
        <v>96</v>
      </c>
      <c r="K29" s="1" t="n">
        <f aca="false">J29/8</f>
        <v>12</v>
      </c>
      <c r="L29" s="1" t="n">
        <f aca="false">J29/16</f>
        <v>6</v>
      </c>
      <c r="M29" s="1" t="n">
        <f aca="false">J29/32</f>
        <v>3</v>
      </c>
      <c r="N29" s="1" t="s">
        <v>80</v>
      </c>
      <c r="O29" s="3" t="n">
        <v>6</v>
      </c>
      <c r="P29" s="1" t="n">
        <v>1</v>
      </c>
      <c r="Q29" s="1" t="n">
        <v>0</v>
      </c>
    </row>
    <row r="30" customFormat="false" ht="15" hidden="false" customHeight="false" outlineLevel="0" collapsed="false">
      <c r="B30" s="23" t="s">
        <v>69</v>
      </c>
      <c r="C30" s="23" t="s">
        <v>81</v>
      </c>
      <c r="D30" s="23" t="n">
        <v>8</v>
      </c>
      <c r="E30" s="19" t="s">
        <v>25</v>
      </c>
      <c r="F30" s="19"/>
      <c r="G30" s="18" t="n">
        <v>5</v>
      </c>
      <c r="H30" s="18" t="s">
        <v>34</v>
      </c>
      <c r="I30" s="19" t="s">
        <v>82</v>
      </c>
      <c r="J30" s="1" t="n">
        <f aca="false">J29+D29</f>
        <v>104</v>
      </c>
      <c r="K30" s="1" t="n">
        <f aca="false">J30/8</f>
        <v>13</v>
      </c>
      <c r="L30" s="1" t="n">
        <f aca="false">J30/16</f>
        <v>6.5</v>
      </c>
      <c r="M30" s="1" t="n">
        <f aca="false">J30/32</f>
        <v>3.25</v>
      </c>
      <c r="N30" s="1" t="s">
        <v>83</v>
      </c>
      <c r="O30" s="3" t="n">
        <v>7</v>
      </c>
      <c r="P30" s="1" t="n">
        <v>1</v>
      </c>
      <c r="Q30" s="1" t="n">
        <v>0</v>
      </c>
    </row>
    <row r="31" customFormat="false" ht="15" hidden="false" customHeight="false" outlineLevel="0" collapsed="false">
      <c r="B31" s="23" t="s">
        <v>69</v>
      </c>
      <c r="C31" s="23" t="s">
        <v>84</v>
      </c>
      <c r="D31" s="23" t="n">
        <v>8</v>
      </c>
      <c r="E31" s="19" t="s">
        <v>25</v>
      </c>
      <c r="F31" s="19"/>
      <c r="G31" s="18" t="n">
        <v>5</v>
      </c>
      <c r="H31" s="18" t="s">
        <v>34</v>
      </c>
      <c r="I31" s="19" t="s">
        <v>85</v>
      </c>
      <c r="J31" s="1" t="n">
        <f aca="false">J30+D30</f>
        <v>112</v>
      </c>
      <c r="K31" s="1" t="n">
        <f aca="false">J31/8</f>
        <v>14</v>
      </c>
      <c r="L31" s="1" t="n">
        <f aca="false">J31/16</f>
        <v>7</v>
      </c>
      <c r="M31" s="1" t="n">
        <f aca="false">J31/32</f>
        <v>3.5</v>
      </c>
      <c r="N31" s="1" t="s">
        <v>86</v>
      </c>
      <c r="O31" s="3" t="n">
        <v>8</v>
      </c>
      <c r="P31" s="1" t="n">
        <v>1</v>
      </c>
      <c r="Q31" s="1" t="n">
        <v>0</v>
      </c>
    </row>
    <row r="32" customFormat="false" ht="15" hidden="false" customHeight="false" outlineLevel="0" collapsed="false">
      <c r="B32" s="23" t="s">
        <v>72</v>
      </c>
      <c r="C32" s="23" t="s">
        <v>87</v>
      </c>
      <c r="D32" s="23" t="n">
        <v>8</v>
      </c>
      <c r="E32" s="19" t="s">
        <v>25</v>
      </c>
      <c r="F32" s="19"/>
      <c r="G32" s="18" t="n">
        <v>13</v>
      </c>
      <c r="H32" s="18" t="s">
        <v>34</v>
      </c>
      <c r="I32" s="19" t="s">
        <v>88</v>
      </c>
      <c r="J32" s="1" t="n">
        <f aca="false">J31+D31</f>
        <v>120</v>
      </c>
      <c r="K32" s="1" t="n">
        <f aca="false">J32/8</f>
        <v>15</v>
      </c>
      <c r="L32" s="1" t="n">
        <f aca="false">J32/16</f>
        <v>7.5</v>
      </c>
      <c r="M32" s="1" t="n">
        <f aca="false">J32/32</f>
        <v>3.75</v>
      </c>
      <c r="N32" s="1" t="s">
        <v>77</v>
      </c>
      <c r="O32" s="3" t="n">
        <v>5</v>
      </c>
      <c r="P32" s="1" t="n">
        <v>2</v>
      </c>
      <c r="Q32" s="1" t="n">
        <v>0</v>
      </c>
    </row>
    <row r="33" customFormat="false" ht="15" hidden="false" customHeight="false" outlineLevel="0" collapsed="false">
      <c r="B33" s="23" t="s">
        <v>72</v>
      </c>
      <c r="C33" s="23" t="s">
        <v>89</v>
      </c>
      <c r="D33" s="23" t="n">
        <v>8</v>
      </c>
      <c r="E33" s="19" t="s">
        <v>25</v>
      </c>
      <c r="F33" s="19"/>
      <c r="G33" s="18" t="n">
        <v>13</v>
      </c>
      <c r="H33" s="18" t="s">
        <v>34</v>
      </c>
      <c r="I33" s="19" t="s">
        <v>90</v>
      </c>
      <c r="J33" s="1" t="n">
        <f aca="false">J32+D32</f>
        <v>128</v>
      </c>
      <c r="K33" s="1" t="n">
        <f aca="false">J33/8</f>
        <v>16</v>
      </c>
      <c r="L33" s="1" t="n">
        <f aca="false">J33/16</f>
        <v>8</v>
      </c>
      <c r="M33" s="1" t="n">
        <f aca="false">J33/32</f>
        <v>4</v>
      </c>
      <c r="N33" s="1" t="s">
        <v>80</v>
      </c>
      <c r="O33" s="3" t="n">
        <v>6</v>
      </c>
      <c r="P33" s="1" t="n">
        <v>2</v>
      </c>
      <c r="Q33" s="1" t="n">
        <v>0</v>
      </c>
    </row>
    <row r="34" customFormat="false" ht="15" hidden="false" customHeight="false" outlineLevel="0" collapsed="false">
      <c r="B34" s="23" t="s">
        <v>72</v>
      </c>
      <c r="C34" s="23" t="s">
        <v>91</v>
      </c>
      <c r="D34" s="23" t="n">
        <v>8</v>
      </c>
      <c r="E34" s="19" t="s">
        <v>25</v>
      </c>
      <c r="F34" s="19"/>
      <c r="G34" s="18" t="n">
        <v>13</v>
      </c>
      <c r="H34" s="18" t="s">
        <v>34</v>
      </c>
      <c r="I34" s="19" t="s">
        <v>92</v>
      </c>
      <c r="J34" s="1" t="n">
        <f aca="false">J33+D33</f>
        <v>136</v>
      </c>
      <c r="K34" s="1" t="n">
        <f aca="false">J34/8</f>
        <v>17</v>
      </c>
      <c r="L34" s="1" t="n">
        <f aca="false">J34/16</f>
        <v>8.5</v>
      </c>
      <c r="M34" s="1" t="n">
        <f aca="false">J34/32</f>
        <v>4.25</v>
      </c>
      <c r="N34" s="1" t="s">
        <v>83</v>
      </c>
      <c r="O34" s="3" t="n">
        <v>7</v>
      </c>
      <c r="P34" s="1" t="n">
        <v>2</v>
      </c>
      <c r="Q34" s="1" t="n">
        <v>0</v>
      </c>
    </row>
    <row r="35" customFormat="false" ht="15" hidden="false" customHeight="false" outlineLevel="0" collapsed="false">
      <c r="B35" s="23" t="s">
        <v>72</v>
      </c>
      <c r="C35" s="23" t="s">
        <v>93</v>
      </c>
      <c r="D35" s="23" t="n">
        <v>8</v>
      </c>
      <c r="E35" s="19" t="s">
        <v>25</v>
      </c>
      <c r="F35" s="19"/>
      <c r="G35" s="18" t="n">
        <v>13</v>
      </c>
      <c r="H35" s="18" t="s">
        <v>34</v>
      </c>
      <c r="I35" s="19" t="s">
        <v>94</v>
      </c>
      <c r="J35" s="1" t="n">
        <f aca="false">J34+D34</f>
        <v>144</v>
      </c>
      <c r="K35" s="1" t="n">
        <f aca="false">J35/8</f>
        <v>18</v>
      </c>
      <c r="L35" s="1" t="n">
        <f aca="false">J35/16</f>
        <v>9</v>
      </c>
      <c r="M35" s="1" t="n">
        <f aca="false">J35/32</f>
        <v>4.5</v>
      </c>
      <c r="N35" s="1" t="s">
        <v>86</v>
      </c>
      <c r="O35" s="3" t="n">
        <v>8</v>
      </c>
      <c r="P35" s="1" t="n">
        <v>2</v>
      </c>
      <c r="Q35" s="1" t="n">
        <v>0</v>
      </c>
    </row>
    <row r="36" customFormat="false" ht="15" hidden="false" customHeight="false" outlineLevel="0" collapsed="false">
      <c r="B36" s="23" t="s">
        <v>95</v>
      </c>
      <c r="C36" s="23" t="s">
        <v>96</v>
      </c>
      <c r="D36" s="23" t="n">
        <v>8</v>
      </c>
      <c r="E36" s="19" t="s">
        <v>25</v>
      </c>
      <c r="F36" s="19"/>
      <c r="G36" s="18" t="n">
        <v>6</v>
      </c>
      <c r="H36" s="18" t="s">
        <v>97</v>
      </c>
      <c r="I36" s="19" t="s">
        <v>98</v>
      </c>
      <c r="J36" s="1" t="n">
        <f aca="false">J35+D35</f>
        <v>152</v>
      </c>
      <c r="K36" s="1" t="n">
        <f aca="false">J36/8</f>
        <v>19</v>
      </c>
      <c r="L36" s="1" t="n">
        <f aca="false">J36/16</f>
        <v>9.5</v>
      </c>
      <c r="M36" s="1" t="n">
        <f aca="false">J36/32</f>
        <v>4.75</v>
      </c>
      <c r="N36" s="1" t="s">
        <v>77</v>
      </c>
      <c r="O36" s="3" t="n">
        <v>5</v>
      </c>
      <c r="P36" s="1" t="n">
        <v>3</v>
      </c>
      <c r="Q36" s="1" t="n">
        <v>0</v>
      </c>
    </row>
    <row r="37" customFormat="false" ht="15" hidden="false" customHeight="false" outlineLevel="0" collapsed="false">
      <c r="B37" s="23" t="s">
        <v>95</v>
      </c>
      <c r="C37" s="23" t="s">
        <v>99</v>
      </c>
      <c r="D37" s="23" t="n">
        <v>8</v>
      </c>
      <c r="E37" s="19" t="s">
        <v>25</v>
      </c>
      <c r="F37" s="19"/>
      <c r="G37" s="18" t="n">
        <v>6</v>
      </c>
      <c r="H37" s="18" t="s">
        <v>97</v>
      </c>
      <c r="I37" s="19" t="s">
        <v>100</v>
      </c>
      <c r="J37" s="1" t="n">
        <f aca="false">J36+D36</f>
        <v>160</v>
      </c>
      <c r="K37" s="1" t="n">
        <f aca="false">J37/8</f>
        <v>20</v>
      </c>
      <c r="L37" s="1" t="n">
        <f aca="false">J37/16</f>
        <v>10</v>
      </c>
      <c r="M37" s="1" t="n">
        <f aca="false">J37/32</f>
        <v>5</v>
      </c>
      <c r="N37" s="1" t="s">
        <v>80</v>
      </c>
      <c r="O37" s="3" t="n">
        <v>6</v>
      </c>
      <c r="P37" s="1" t="n">
        <v>3</v>
      </c>
      <c r="Q37" s="1" t="n">
        <v>0</v>
      </c>
    </row>
    <row r="38" customFormat="false" ht="15" hidden="false" customHeight="false" outlineLevel="0" collapsed="false">
      <c r="B38" s="23" t="s">
        <v>95</v>
      </c>
      <c r="C38" s="23" t="s">
        <v>101</v>
      </c>
      <c r="D38" s="23" t="n">
        <v>8</v>
      </c>
      <c r="E38" s="19" t="s">
        <v>25</v>
      </c>
      <c r="F38" s="19"/>
      <c r="G38" s="18" t="n">
        <v>6</v>
      </c>
      <c r="H38" s="18" t="s">
        <v>97</v>
      </c>
      <c r="I38" s="19" t="s">
        <v>102</v>
      </c>
      <c r="J38" s="1" t="n">
        <f aca="false">J37+D37</f>
        <v>168</v>
      </c>
      <c r="K38" s="1" t="n">
        <f aca="false">J38/8</f>
        <v>21</v>
      </c>
      <c r="L38" s="1" t="n">
        <f aca="false">J38/16</f>
        <v>10.5</v>
      </c>
      <c r="M38" s="1" t="n">
        <f aca="false">J38/32</f>
        <v>5.25</v>
      </c>
      <c r="N38" s="1" t="s">
        <v>83</v>
      </c>
      <c r="O38" s="3" t="n">
        <v>7</v>
      </c>
      <c r="P38" s="1" t="n">
        <v>3</v>
      </c>
      <c r="Q38" s="1" t="n">
        <v>0</v>
      </c>
    </row>
    <row r="39" customFormat="false" ht="15" hidden="false" customHeight="false" outlineLevel="0" collapsed="false">
      <c r="B39" s="23" t="s">
        <v>95</v>
      </c>
      <c r="C39" s="23" t="s">
        <v>103</v>
      </c>
      <c r="D39" s="23" t="n">
        <v>8</v>
      </c>
      <c r="E39" s="19" t="s">
        <v>25</v>
      </c>
      <c r="F39" s="19"/>
      <c r="G39" s="18" t="n">
        <v>6</v>
      </c>
      <c r="H39" s="18" t="s">
        <v>97</v>
      </c>
      <c r="I39" s="19" t="s">
        <v>104</v>
      </c>
      <c r="J39" s="1" t="n">
        <f aca="false">J38+D38</f>
        <v>176</v>
      </c>
      <c r="K39" s="1" t="n">
        <f aca="false">J39/8</f>
        <v>22</v>
      </c>
      <c r="L39" s="1" t="n">
        <f aca="false">J39/16</f>
        <v>11</v>
      </c>
      <c r="M39" s="1" t="n">
        <f aca="false">J39/32</f>
        <v>5.5</v>
      </c>
      <c r="N39" s="1" t="s">
        <v>86</v>
      </c>
      <c r="O39" s="3" t="n">
        <v>8</v>
      </c>
      <c r="P39" s="1" t="n">
        <v>3</v>
      </c>
      <c r="Q39" s="1" t="n">
        <v>0</v>
      </c>
    </row>
    <row r="40" customFormat="false" ht="15" hidden="false" customHeight="false" outlineLevel="0" collapsed="false">
      <c r="B40" s="23" t="s">
        <v>105</v>
      </c>
      <c r="C40" s="23" t="s">
        <v>106</v>
      </c>
      <c r="D40" s="23" t="n">
        <v>8</v>
      </c>
      <c r="E40" s="19" t="s">
        <v>25</v>
      </c>
      <c r="F40" s="19"/>
      <c r="G40" s="18" t="n">
        <v>9</v>
      </c>
      <c r="H40" s="18" t="s">
        <v>107</v>
      </c>
      <c r="I40" s="19" t="s">
        <v>108</v>
      </c>
      <c r="J40" s="1" t="n">
        <f aca="false">J39+D39</f>
        <v>184</v>
      </c>
      <c r="K40" s="1" t="n">
        <f aca="false">J40/8</f>
        <v>23</v>
      </c>
      <c r="L40" s="1" t="n">
        <f aca="false">J40/16</f>
        <v>11.5</v>
      </c>
      <c r="M40" s="1" t="n">
        <f aca="false">J40/32</f>
        <v>5.75</v>
      </c>
      <c r="N40" s="1" t="s">
        <v>109</v>
      </c>
      <c r="O40" s="3" t="n">
        <v>2</v>
      </c>
      <c r="P40" s="1" t="n">
        <v>1</v>
      </c>
      <c r="Q40" s="1" t="n">
        <v>0</v>
      </c>
    </row>
    <row r="41" customFormat="false" ht="15" hidden="false" customHeight="false" outlineLevel="0" collapsed="false">
      <c r="B41" s="23" t="s">
        <v>110</v>
      </c>
      <c r="C41" s="23" t="s">
        <v>111</v>
      </c>
      <c r="D41" s="23" t="n">
        <v>8</v>
      </c>
      <c r="E41" s="19" t="s">
        <v>25</v>
      </c>
      <c r="F41" s="19"/>
      <c r="G41" s="18" t="n">
        <v>9</v>
      </c>
      <c r="H41" s="18" t="s">
        <v>107</v>
      </c>
      <c r="I41" s="19" t="s">
        <v>112</v>
      </c>
      <c r="J41" s="1" t="n">
        <f aca="false">J40+D40</f>
        <v>192</v>
      </c>
      <c r="K41" s="1" t="n">
        <f aca="false">J41/8</f>
        <v>24</v>
      </c>
      <c r="L41" s="1" t="n">
        <f aca="false">J41/16</f>
        <v>12</v>
      </c>
      <c r="M41" s="1" t="n">
        <f aca="false">J41/32</f>
        <v>6</v>
      </c>
      <c r="N41" s="1" t="s">
        <v>68</v>
      </c>
      <c r="O41" s="3" t="n">
        <v>4</v>
      </c>
      <c r="P41" s="1" t="n">
        <v>4</v>
      </c>
      <c r="Q41" s="1" t="n">
        <v>0</v>
      </c>
    </row>
    <row r="42" customFormat="false" ht="15" hidden="false" customHeight="false" outlineLevel="0" collapsed="false">
      <c r="B42" s="23" t="s">
        <v>113</v>
      </c>
      <c r="C42" s="23" t="s">
        <v>114</v>
      </c>
      <c r="D42" s="23" t="n">
        <v>8</v>
      </c>
      <c r="E42" s="19" t="s">
        <v>25</v>
      </c>
      <c r="F42" s="19"/>
      <c r="G42" s="18" t="n">
        <v>9</v>
      </c>
      <c r="H42" s="18" t="s">
        <v>107</v>
      </c>
      <c r="I42" s="19" t="s">
        <v>115</v>
      </c>
      <c r="J42" s="1" t="n">
        <f aca="false">J41+D41</f>
        <v>200</v>
      </c>
      <c r="K42" s="1" t="n">
        <f aca="false">J42/8</f>
        <v>25</v>
      </c>
      <c r="L42" s="1" t="n">
        <f aca="false">J42/16</f>
        <v>12.5</v>
      </c>
      <c r="M42" s="1" t="n">
        <f aca="false">J42/32</f>
        <v>6.25</v>
      </c>
      <c r="N42" s="1" t="s">
        <v>109</v>
      </c>
      <c r="O42" s="3" t="n">
        <v>2</v>
      </c>
      <c r="P42" s="1" t="n">
        <v>8</v>
      </c>
      <c r="Q42" s="1" t="n">
        <v>0</v>
      </c>
    </row>
    <row r="43" customFormat="false" ht="15" hidden="false" customHeight="false" outlineLevel="0" collapsed="false">
      <c r="B43" s="23" t="s">
        <v>116</v>
      </c>
      <c r="C43" s="23" t="s">
        <v>117</v>
      </c>
      <c r="D43" s="23" t="n">
        <v>16</v>
      </c>
      <c r="E43" s="19" t="s">
        <v>25</v>
      </c>
      <c r="F43" s="19"/>
      <c r="G43" s="18" t="n">
        <v>1</v>
      </c>
      <c r="H43" s="18" t="s">
        <v>118</v>
      </c>
      <c r="I43" s="19" t="s">
        <v>119</v>
      </c>
      <c r="J43" s="1" t="n">
        <f aca="false">J42+D42</f>
        <v>208</v>
      </c>
      <c r="K43" s="1" t="n">
        <f aca="false">J43/8</f>
        <v>26</v>
      </c>
      <c r="L43" s="1" t="n">
        <f aca="false">J43/16</f>
        <v>13</v>
      </c>
      <c r="M43" s="1" t="n">
        <f aca="false">J43/32</f>
        <v>6.5</v>
      </c>
      <c r="N43" s="1" t="s">
        <v>109</v>
      </c>
      <c r="O43" s="3" t="n">
        <v>2</v>
      </c>
      <c r="P43" s="1" t="n">
        <v>9</v>
      </c>
      <c r="Q43" s="1" t="n">
        <v>0</v>
      </c>
    </row>
    <row r="44" customFormat="false" ht="15" hidden="false" customHeight="false" outlineLevel="0" collapsed="false">
      <c r="B44" s="23" t="s">
        <v>120</v>
      </c>
      <c r="C44" s="23" t="s">
        <v>121</v>
      </c>
      <c r="D44" s="23" t="n">
        <v>16</v>
      </c>
      <c r="E44" s="19" t="s">
        <v>25</v>
      </c>
      <c r="F44" s="19"/>
      <c r="G44" s="18" t="n">
        <v>1</v>
      </c>
      <c r="H44" s="18" t="s">
        <v>118</v>
      </c>
      <c r="I44" s="19" t="s">
        <v>122</v>
      </c>
      <c r="J44" s="1" t="n">
        <f aca="false">J43+D43</f>
        <v>224</v>
      </c>
      <c r="K44" s="1" t="n">
        <f aca="false">J44/8</f>
        <v>28</v>
      </c>
      <c r="L44" s="1" t="n">
        <f aca="false">J44/16</f>
        <v>14</v>
      </c>
      <c r="M44" s="1" t="n">
        <f aca="false">J44/32</f>
        <v>7</v>
      </c>
      <c r="N44" s="1" t="s">
        <v>109</v>
      </c>
      <c r="O44" s="3" t="n">
        <v>2</v>
      </c>
      <c r="P44" s="1" t="n">
        <v>10</v>
      </c>
      <c r="Q44" s="1" t="n">
        <v>0</v>
      </c>
    </row>
    <row r="45" customFormat="false" ht="15" hidden="false" customHeight="false" outlineLevel="0" collapsed="false">
      <c r="B45" s="23" t="s">
        <v>123</v>
      </c>
      <c r="C45" s="23" t="s">
        <v>124</v>
      </c>
      <c r="D45" s="23" t="n">
        <v>16</v>
      </c>
      <c r="E45" s="19" t="s">
        <v>25</v>
      </c>
      <c r="F45" s="19"/>
      <c r="G45" s="18" t="n">
        <v>1</v>
      </c>
      <c r="H45" s="18" t="s">
        <v>118</v>
      </c>
      <c r="I45" s="19" t="s">
        <v>125</v>
      </c>
      <c r="J45" s="1" t="n">
        <f aca="false">J44+D44</f>
        <v>240</v>
      </c>
      <c r="K45" s="1" t="n">
        <f aca="false">J45/8</f>
        <v>30</v>
      </c>
      <c r="L45" s="1" t="n">
        <f aca="false">J45/16</f>
        <v>15</v>
      </c>
      <c r="M45" s="1" t="n">
        <f aca="false">J45/32</f>
        <v>7.5</v>
      </c>
      <c r="N45" s="1" t="s">
        <v>109</v>
      </c>
      <c r="O45" s="3" t="n">
        <v>2</v>
      </c>
      <c r="P45" s="1" t="n">
        <v>11</v>
      </c>
      <c r="Q45" s="1" t="n">
        <v>0</v>
      </c>
    </row>
    <row r="46" customFormat="false" ht="15" hidden="false" customHeight="false" outlineLevel="0" collapsed="false">
      <c r="B46" s="23" t="s">
        <v>126</v>
      </c>
      <c r="C46" s="23" t="s">
        <v>127</v>
      </c>
      <c r="D46" s="23" t="n">
        <v>16</v>
      </c>
      <c r="E46" s="19" t="s">
        <v>25</v>
      </c>
      <c r="F46" s="19"/>
      <c r="G46" s="18" t="n">
        <v>1</v>
      </c>
      <c r="H46" s="18" t="s">
        <v>118</v>
      </c>
      <c r="I46" s="19" t="s">
        <v>128</v>
      </c>
      <c r="J46" s="1" t="n">
        <f aca="false">J45+D45</f>
        <v>256</v>
      </c>
      <c r="K46" s="1" t="n">
        <f aca="false">J46/8</f>
        <v>32</v>
      </c>
      <c r="L46" s="1" t="n">
        <f aca="false">J46/16</f>
        <v>16</v>
      </c>
      <c r="M46" s="1" t="n">
        <f aca="false">J46/32</f>
        <v>8</v>
      </c>
      <c r="N46" s="1" t="s">
        <v>109</v>
      </c>
      <c r="O46" s="3" t="n">
        <v>2</v>
      </c>
      <c r="P46" s="1" t="n">
        <v>12</v>
      </c>
      <c r="Q46" s="1" t="n">
        <v>0</v>
      </c>
    </row>
    <row r="47" customFormat="false" ht="15" hidden="false" customHeight="false" outlineLevel="0" collapsed="false">
      <c r="B47" s="23" t="s">
        <v>129</v>
      </c>
      <c r="C47" s="23" t="s">
        <v>130</v>
      </c>
      <c r="D47" s="21" t="n">
        <v>16</v>
      </c>
      <c r="E47" s="18" t="s">
        <v>25</v>
      </c>
      <c r="F47" s="18"/>
      <c r="G47" s="18" t="n">
        <v>0</v>
      </c>
      <c r="H47" s="18" t="s">
        <v>34</v>
      </c>
      <c r="I47" s="19" t="s">
        <v>131</v>
      </c>
      <c r="J47" s="1" t="n">
        <f aca="false">J42+D42</f>
        <v>208</v>
      </c>
      <c r="K47" s="1" t="n">
        <f aca="false">J47/8</f>
        <v>26</v>
      </c>
      <c r="L47" s="1" t="n">
        <f aca="false">J47/16</f>
        <v>13</v>
      </c>
      <c r="M47" s="1" t="n">
        <f aca="false">J47/32</f>
        <v>6.5</v>
      </c>
      <c r="N47" s="1" t="s">
        <v>28</v>
      </c>
      <c r="O47" s="3" t="n">
        <v>0</v>
      </c>
      <c r="P47" s="1" t="n">
        <v>0</v>
      </c>
      <c r="Q47" s="1" t="n">
        <v>0</v>
      </c>
    </row>
    <row r="48" customFormat="false" ht="15" hidden="false" customHeight="false" outlineLevel="0" collapsed="false">
      <c r="A48" s="1" t="s">
        <v>45</v>
      </c>
      <c r="B48" s="23"/>
      <c r="C48" s="23"/>
      <c r="D48" s="23"/>
      <c r="E48" s="19"/>
      <c r="F48" s="19"/>
      <c r="G48" s="19"/>
      <c r="H48" s="18"/>
      <c r="I48" s="19" t="s">
        <v>132</v>
      </c>
      <c r="J48" s="1" t="n">
        <f aca="false">J47+D47</f>
        <v>224</v>
      </c>
      <c r="K48" s="1" t="n">
        <f aca="false">J48/8</f>
        <v>28</v>
      </c>
      <c r="L48" s="1" t="n">
        <f aca="false">J48/16</f>
        <v>14</v>
      </c>
      <c r="M48" s="1" t="n">
        <f aca="false">J48/32</f>
        <v>7</v>
      </c>
    </row>
    <row r="49" customFormat="false" ht="15" hidden="false" customHeight="false" outlineLevel="0" collapsed="false">
      <c r="B49" s="23"/>
      <c r="C49" s="23"/>
      <c r="D49" s="23"/>
      <c r="E49" s="19"/>
      <c r="F49" s="19"/>
      <c r="G49" s="19"/>
      <c r="H49" s="19"/>
      <c r="I49" s="19"/>
      <c r="J49" s="22"/>
      <c r="K49" s="22"/>
      <c r="L49" s="22"/>
      <c r="M49" s="22"/>
    </row>
    <row r="50" customFormat="false" ht="12.75" hidden="false" customHeight="true" outlineLevel="0" collapsed="false">
      <c r="A50" s="1" t="s">
        <v>0</v>
      </c>
      <c r="B50" s="6" t="s">
        <v>133</v>
      </c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1" t="s">
        <v>134</v>
      </c>
      <c r="B51" s="23"/>
      <c r="C51" s="23"/>
      <c r="D51" s="23"/>
      <c r="E51" s="19"/>
      <c r="F51" s="19"/>
      <c r="G51" s="19"/>
      <c r="H51" s="19"/>
      <c r="I51" s="19"/>
      <c r="J51" s="22"/>
      <c r="K51" s="22"/>
      <c r="L51" s="22"/>
      <c r="M51" s="22"/>
    </row>
    <row r="52" customFormat="false" ht="15" hidden="false" customHeight="false" outlineLevel="0" collapsed="false">
      <c r="A52" s="1" t="s">
        <v>135</v>
      </c>
      <c r="B52" s="23"/>
      <c r="C52" s="23"/>
      <c r="D52" s="23"/>
      <c r="E52" s="19"/>
      <c r="F52" s="19"/>
      <c r="G52" s="19"/>
      <c r="H52" s="19"/>
      <c r="I52" s="19"/>
      <c r="J52" s="22"/>
      <c r="K52" s="22"/>
      <c r="L52" s="22"/>
      <c r="M52" s="22"/>
    </row>
    <row r="53" customFormat="false" ht="15" hidden="false" customHeight="false" outlineLevel="0" collapsed="false">
      <c r="B53" s="23" t="s">
        <v>136</v>
      </c>
      <c r="C53" s="23" t="s">
        <v>137</v>
      </c>
      <c r="D53" s="23" t="n">
        <v>1</v>
      </c>
      <c r="E53" s="19" t="s">
        <v>25</v>
      </c>
      <c r="F53" s="19"/>
      <c r="G53" s="18" t="n">
        <v>1</v>
      </c>
      <c r="H53" s="18" t="s">
        <v>34</v>
      </c>
      <c r="I53" s="19" t="s">
        <v>138</v>
      </c>
      <c r="J53" s="22" t="n">
        <v>0</v>
      </c>
      <c r="K53" s="22" t="n">
        <f aca="false">J53/8</f>
        <v>0</v>
      </c>
      <c r="L53" s="22" t="n">
        <f aca="false">J53/16</f>
        <v>0</v>
      </c>
      <c r="M53" s="22" t="n">
        <f aca="false">J53/32</f>
        <v>0</v>
      </c>
      <c r="N53" s="1" t="s">
        <v>109</v>
      </c>
      <c r="O53" s="3" t="n">
        <v>2</v>
      </c>
      <c r="P53" s="1" t="n">
        <v>2</v>
      </c>
      <c r="Q53" s="1" t="n">
        <v>0</v>
      </c>
    </row>
    <row r="54" customFormat="false" ht="15" hidden="false" customHeight="false" outlineLevel="0" collapsed="false">
      <c r="B54" s="23" t="s">
        <v>139</v>
      </c>
      <c r="C54" s="23" t="s">
        <v>140</v>
      </c>
      <c r="D54" s="23" t="n">
        <v>1</v>
      </c>
      <c r="E54" s="19" t="s">
        <v>25</v>
      </c>
      <c r="F54" s="19"/>
      <c r="G54" s="18" t="n">
        <v>1</v>
      </c>
      <c r="H54" s="18" t="s">
        <v>34</v>
      </c>
      <c r="I54" s="19" t="s">
        <v>141</v>
      </c>
      <c r="J54" s="1" t="n">
        <f aca="false">J53+D53</f>
        <v>1</v>
      </c>
      <c r="K54" s="1" t="n">
        <f aca="false">J54/8</f>
        <v>0.125</v>
      </c>
      <c r="L54" s="1" t="n">
        <f aca="false">J54/16</f>
        <v>0.0625</v>
      </c>
      <c r="M54" s="1" t="n">
        <f aca="false">J54/32</f>
        <v>0.03125</v>
      </c>
      <c r="N54" s="1" t="s">
        <v>109</v>
      </c>
      <c r="O54" s="3" t="n">
        <v>2</v>
      </c>
      <c r="P54" s="1" t="n">
        <v>3</v>
      </c>
      <c r="Q54" s="1" t="n">
        <v>0</v>
      </c>
    </row>
    <row r="55" customFormat="false" ht="15" hidden="false" customHeight="false" outlineLevel="0" collapsed="false">
      <c r="B55" s="23" t="s">
        <v>142</v>
      </c>
      <c r="C55" s="23" t="s">
        <v>143</v>
      </c>
      <c r="D55" s="23" t="n">
        <v>1</v>
      </c>
      <c r="E55" s="19" t="s">
        <v>25</v>
      </c>
      <c r="F55" s="19"/>
      <c r="G55" s="18" t="n">
        <v>1</v>
      </c>
      <c r="H55" s="18" t="s">
        <v>34</v>
      </c>
      <c r="I55" s="19" t="s">
        <v>144</v>
      </c>
      <c r="J55" s="1" t="n">
        <f aca="false">J54+D54</f>
        <v>2</v>
      </c>
      <c r="K55" s="1" t="n">
        <f aca="false">J55/8</f>
        <v>0.25</v>
      </c>
      <c r="L55" s="1" t="n">
        <f aca="false">J55/16</f>
        <v>0.125</v>
      </c>
      <c r="M55" s="1" t="n">
        <f aca="false">J55/32</f>
        <v>0.0625</v>
      </c>
      <c r="N55" s="1" t="s">
        <v>53</v>
      </c>
      <c r="O55" s="3" t="n">
        <v>3</v>
      </c>
      <c r="P55" s="1" t="n">
        <v>5</v>
      </c>
      <c r="Q55" s="1" t="n">
        <v>0</v>
      </c>
    </row>
    <row r="56" customFormat="false" ht="15" hidden="false" customHeight="false" outlineLevel="0" collapsed="false">
      <c r="B56" s="23" t="s">
        <v>145</v>
      </c>
      <c r="C56" s="23" t="s">
        <v>146</v>
      </c>
      <c r="D56" s="23" t="n">
        <v>1</v>
      </c>
      <c r="E56" s="19" t="s">
        <v>25</v>
      </c>
      <c r="F56" s="19"/>
      <c r="G56" s="18" t="n">
        <v>1</v>
      </c>
      <c r="H56" s="18" t="s">
        <v>34</v>
      </c>
      <c r="I56" s="19" t="s">
        <v>147</v>
      </c>
      <c r="J56" s="1" t="n">
        <f aca="false">J55+D55</f>
        <v>3</v>
      </c>
      <c r="K56" s="1" t="n">
        <f aca="false">J56/8</f>
        <v>0.375</v>
      </c>
      <c r="L56" s="1" t="n">
        <f aca="false">J56/16</f>
        <v>0.1875</v>
      </c>
      <c r="M56" s="1" t="n">
        <f aca="false">J56/32</f>
        <v>0.09375</v>
      </c>
      <c r="N56" s="1" t="s">
        <v>53</v>
      </c>
      <c r="O56" s="3" t="n">
        <v>3</v>
      </c>
      <c r="P56" s="1" t="n">
        <v>6</v>
      </c>
      <c r="Q56" s="1" t="n">
        <v>0</v>
      </c>
    </row>
    <row r="57" customFormat="false" ht="15" hidden="false" customHeight="false" outlineLevel="0" collapsed="false">
      <c r="B57" s="23" t="s">
        <v>148</v>
      </c>
      <c r="C57" s="23" t="s">
        <v>149</v>
      </c>
      <c r="D57" s="23" t="n">
        <v>1</v>
      </c>
      <c r="E57" s="19" t="s">
        <v>25</v>
      </c>
      <c r="F57" s="19"/>
      <c r="G57" s="18" t="n">
        <v>1</v>
      </c>
      <c r="H57" s="18" t="s">
        <v>34</v>
      </c>
      <c r="I57" s="19" t="s">
        <v>150</v>
      </c>
      <c r="J57" s="1" t="n">
        <f aca="false">J56+D56</f>
        <v>4</v>
      </c>
      <c r="K57" s="1" t="n">
        <f aca="false">J57/8</f>
        <v>0.5</v>
      </c>
      <c r="L57" s="1" t="n">
        <f aca="false">J57/16</f>
        <v>0.25</v>
      </c>
      <c r="M57" s="1" t="n">
        <f aca="false">J57/32</f>
        <v>0.125</v>
      </c>
      <c r="N57" s="1" t="s">
        <v>53</v>
      </c>
      <c r="O57" s="3" t="n">
        <v>3</v>
      </c>
      <c r="P57" s="1" t="n">
        <v>7</v>
      </c>
      <c r="Q57" s="1" t="n">
        <v>0</v>
      </c>
    </row>
    <row r="58" customFormat="false" ht="15" hidden="false" customHeight="false" outlineLevel="0" collapsed="false">
      <c r="B58" s="23" t="s">
        <v>151</v>
      </c>
      <c r="C58" s="23" t="s">
        <v>152</v>
      </c>
      <c r="D58" s="23" t="n">
        <v>1</v>
      </c>
      <c r="E58" s="19" t="s">
        <v>25</v>
      </c>
      <c r="F58" s="19"/>
      <c r="G58" s="18" t="n">
        <v>1</v>
      </c>
      <c r="H58" s="18" t="s">
        <v>34</v>
      </c>
      <c r="I58" s="19" t="s">
        <v>153</v>
      </c>
      <c r="J58" s="1" t="n">
        <f aca="false">J57+D57</f>
        <v>5</v>
      </c>
      <c r="K58" s="1" t="n">
        <f aca="false">J58/8</f>
        <v>0.625</v>
      </c>
      <c r="L58" s="1" t="n">
        <f aca="false">J58/16</f>
        <v>0.3125</v>
      </c>
      <c r="M58" s="1" t="n">
        <f aca="false">J58/32</f>
        <v>0.15625</v>
      </c>
      <c r="N58" s="1" t="s">
        <v>109</v>
      </c>
      <c r="O58" s="3" t="n">
        <v>2</v>
      </c>
      <c r="P58" s="1" t="n">
        <v>13</v>
      </c>
      <c r="Q58" s="1" t="n">
        <v>0</v>
      </c>
    </row>
    <row r="59" customFormat="false" ht="15" hidden="false" customHeight="false" outlineLevel="0" collapsed="false">
      <c r="B59" s="23" t="s">
        <v>154</v>
      </c>
      <c r="C59" s="23" t="s">
        <v>155</v>
      </c>
      <c r="D59" s="23" t="n">
        <v>1</v>
      </c>
      <c r="E59" s="19" t="s">
        <v>25</v>
      </c>
      <c r="F59" s="19"/>
      <c r="G59" s="18" t="n">
        <v>1</v>
      </c>
      <c r="H59" s="18" t="s">
        <v>34</v>
      </c>
      <c r="I59" s="19" t="s">
        <v>156</v>
      </c>
      <c r="J59" s="1" t="n">
        <f aca="false">J58+D58</f>
        <v>6</v>
      </c>
      <c r="K59" s="1" t="n">
        <f aca="false">J59/8</f>
        <v>0.75</v>
      </c>
      <c r="L59" s="1" t="n">
        <f aca="false">J59/16</f>
        <v>0.375</v>
      </c>
      <c r="M59" s="1" t="n">
        <f aca="false">J59/32</f>
        <v>0.1875</v>
      </c>
      <c r="N59" s="1" t="s">
        <v>68</v>
      </c>
      <c r="O59" s="3" t="n">
        <v>4</v>
      </c>
      <c r="P59" s="1" t="n">
        <v>5</v>
      </c>
      <c r="Q59" s="1" t="n">
        <v>0</v>
      </c>
    </row>
    <row r="60" customFormat="false" ht="15" hidden="false" customHeight="false" outlineLevel="0" collapsed="false">
      <c r="B60" s="23" t="s">
        <v>157</v>
      </c>
      <c r="C60" s="23" t="s">
        <v>158</v>
      </c>
      <c r="D60" s="23" t="n">
        <v>1</v>
      </c>
      <c r="E60" s="19" t="s">
        <v>25</v>
      </c>
      <c r="F60" s="19"/>
      <c r="G60" s="18" t="n">
        <v>1</v>
      </c>
      <c r="H60" s="18" t="s">
        <v>34</v>
      </c>
      <c r="I60" s="19" t="s">
        <v>159</v>
      </c>
      <c r="J60" s="1" t="n">
        <f aca="false">J59+D59</f>
        <v>7</v>
      </c>
      <c r="K60" s="1" t="n">
        <f aca="false">J60/8</f>
        <v>0.875</v>
      </c>
      <c r="L60" s="1" t="n">
        <f aca="false">J60/16</f>
        <v>0.4375</v>
      </c>
      <c r="M60" s="1" t="n">
        <f aca="false">J60/32</f>
        <v>0.21875</v>
      </c>
      <c r="N60" s="1" t="s">
        <v>68</v>
      </c>
      <c r="O60" s="3" t="n">
        <v>4</v>
      </c>
      <c r="P60" s="1" t="n">
        <v>6</v>
      </c>
      <c r="Q60" s="1" t="n">
        <v>0</v>
      </c>
    </row>
    <row r="61" customFormat="false" ht="15" hidden="false" customHeight="false" outlineLevel="0" collapsed="false">
      <c r="B61" s="23" t="s">
        <v>160</v>
      </c>
      <c r="C61" s="23" t="s">
        <v>161</v>
      </c>
      <c r="D61" s="23" t="n">
        <v>1</v>
      </c>
      <c r="E61" s="19" t="s">
        <v>25</v>
      </c>
      <c r="F61" s="19"/>
      <c r="G61" s="18" t="n">
        <v>1</v>
      </c>
      <c r="H61" s="18" t="s">
        <v>34</v>
      </c>
      <c r="I61" s="19" t="s">
        <v>162</v>
      </c>
      <c r="J61" s="1" t="n">
        <f aca="false">J60+D60</f>
        <v>8</v>
      </c>
      <c r="K61" s="1" t="n">
        <f aca="false">J61/8</f>
        <v>1</v>
      </c>
      <c r="L61" s="1" t="n">
        <f aca="false">J61/16</f>
        <v>0.5</v>
      </c>
      <c r="M61" s="1" t="n">
        <f aca="false">J61/32</f>
        <v>0.25</v>
      </c>
      <c r="N61" s="1" t="s">
        <v>68</v>
      </c>
      <c r="O61" s="3" t="n">
        <v>4</v>
      </c>
      <c r="P61" s="1" t="n">
        <v>7</v>
      </c>
      <c r="Q61" s="1" t="n">
        <v>0</v>
      </c>
    </row>
    <row r="62" customFormat="false" ht="15" hidden="false" customHeight="false" outlineLevel="0" collapsed="false">
      <c r="B62" s="18" t="s">
        <v>163</v>
      </c>
      <c r="C62" s="18" t="s">
        <v>164</v>
      </c>
      <c r="D62" s="18" t="n">
        <v>7</v>
      </c>
      <c r="E62" s="18" t="s">
        <v>25</v>
      </c>
      <c r="F62" s="18"/>
      <c r="G62" s="18" t="n">
        <v>0</v>
      </c>
      <c r="H62" s="18" t="s">
        <v>34</v>
      </c>
      <c r="I62" s="19" t="s">
        <v>165</v>
      </c>
      <c r="J62" s="1" t="n">
        <f aca="false">J57+D57</f>
        <v>5</v>
      </c>
      <c r="K62" s="1" t="n">
        <f aca="false">J62/8</f>
        <v>0.625</v>
      </c>
      <c r="L62" s="1" t="n">
        <f aca="false">J62/16</f>
        <v>0.3125</v>
      </c>
      <c r="M62" s="1" t="n">
        <f aca="false">J62/32</f>
        <v>0.15625</v>
      </c>
      <c r="N62" s="1" t="s">
        <v>28</v>
      </c>
      <c r="O62" s="3" t="n">
        <v>0</v>
      </c>
      <c r="P62" s="1" t="n">
        <v>0</v>
      </c>
      <c r="Q62" s="1" t="n">
        <v>0</v>
      </c>
    </row>
    <row r="63" customFormat="false" ht="15" hidden="false" customHeight="false" outlineLevel="0" collapsed="false">
      <c r="A63" s="1" t="s">
        <v>166</v>
      </c>
      <c r="B63" s="18"/>
      <c r="C63" s="18"/>
      <c r="D63" s="18"/>
      <c r="E63" s="18"/>
      <c r="F63" s="18"/>
      <c r="G63" s="18"/>
      <c r="H63" s="18"/>
      <c r="I63" s="19"/>
    </row>
    <row r="64" customFormat="false" ht="15" hidden="false" customHeight="false" outlineLevel="0" collapsed="false">
      <c r="A64" s="1" t="s">
        <v>167</v>
      </c>
      <c r="B64" s="18"/>
      <c r="C64" s="18"/>
      <c r="D64" s="18"/>
      <c r="E64" s="18"/>
      <c r="F64" s="18"/>
      <c r="G64" s="18"/>
      <c r="H64" s="18"/>
      <c r="I64" s="19"/>
    </row>
    <row r="65" customFormat="false" ht="15" hidden="false" customHeight="false" outlineLevel="0" collapsed="false">
      <c r="B65" s="18" t="s">
        <v>163</v>
      </c>
      <c r="C65" s="18" t="s">
        <v>164</v>
      </c>
      <c r="D65" s="18" t="n">
        <v>7</v>
      </c>
      <c r="E65" s="18" t="s">
        <v>25</v>
      </c>
      <c r="F65" s="18"/>
      <c r="G65" s="18" t="n">
        <v>0</v>
      </c>
      <c r="H65" s="18" t="s">
        <v>34</v>
      </c>
      <c r="I65" s="19" t="s">
        <v>165</v>
      </c>
      <c r="J65" s="1" t="n">
        <f aca="false">J64+D64</f>
        <v>0</v>
      </c>
      <c r="K65" s="1" t="n">
        <f aca="false">J65/8</f>
        <v>0</v>
      </c>
      <c r="L65" s="1" t="n">
        <f aca="false">J65/16</f>
        <v>0</v>
      </c>
      <c r="M65" s="1" t="n">
        <f aca="false">J65/32</f>
        <v>0</v>
      </c>
      <c r="N65" s="1" t="s">
        <v>28</v>
      </c>
      <c r="O65" s="3" t="n">
        <v>0</v>
      </c>
      <c r="P65" s="1" t="n">
        <v>0</v>
      </c>
      <c r="Q65" s="1" t="n">
        <v>0</v>
      </c>
    </row>
    <row r="66" customFormat="false" ht="15" hidden="false" customHeight="false" outlineLevel="0" collapsed="false">
      <c r="B66" s="23" t="s">
        <v>160</v>
      </c>
      <c r="C66" s="23" t="s">
        <v>161</v>
      </c>
      <c r="D66" s="23" t="n">
        <v>1</v>
      </c>
      <c r="E66" s="19" t="s">
        <v>25</v>
      </c>
      <c r="F66" s="19"/>
      <c r="G66" s="18" t="n">
        <v>1</v>
      </c>
      <c r="H66" s="18" t="s">
        <v>34</v>
      </c>
      <c r="I66" s="19" t="s">
        <v>162</v>
      </c>
      <c r="J66" s="1" t="n">
        <f aca="false">J65+D65</f>
        <v>7</v>
      </c>
      <c r="K66" s="1" t="n">
        <f aca="false">J66/8</f>
        <v>0.875</v>
      </c>
      <c r="L66" s="1" t="n">
        <f aca="false">J66/16</f>
        <v>0.4375</v>
      </c>
      <c r="M66" s="1" t="n">
        <f aca="false">J66/32</f>
        <v>0.21875</v>
      </c>
      <c r="N66" s="1" t="s">
        <v>68</v>
      </c>
      <c r="O66" s="3" t="n">
        <v>4</v>
      </c>
      <c r="P66" s="1" t="n">
        <v>7</v>
      </c>
      <c r="Q66" s="1" t="n">
        <v>0</v>
      </c>
    </row>
    <row r="67" customFormat="false" ht="15" hidden="false" customHeight="false" outlineLevel="0" collapsed="false">
      <c r="B67" s="23" t="s">
        <v>157</v>
      </c>
      <c r="C67" s="23" t="s">
        <v>158</v>
      </c>
      <c r="D67" s="23" t="n">
        <v>1</v>
      </c>
      <c r="E67" s="19" t="s">
        <v>25</v>
      </c>
      <c r="F67" s="19"/>
      <c r="G67" s="18" t="n">
        <v>1</v>
      </c>
      <c r="H67" s="18" t="s">
        <v>34</v>
      </c>
      <c r="I67" s="19" t="s">
        <v>159</v>
      </c>
      <c r="J67" s="1" t="n">
        <f aca="false">J66+D66</f>
        <v>8</v>
      </c>
      <c r="K67" s="1" t="n">
        <f aca="false">J67/8</f>
        <v>1</v>
      </c>
      <c r="L67" s="1" t="n">
        <f aca="false">J67/16</f>
        <v>0.5</v>
      </c>
      <c r="M67" s="1" t="n">
        <f aca="false">J67/32</f>
        <v>0.25</v>
      </c>
      <c r="N67" s="1" t="s">
        <v>68</v>
      </c>
      <c r="O67" s="3" t="n">
        <v>4</v>
      </c>
      <c r="P67" s="1" t="n">
        <v>6</v>
      </c>
      <c r="Q67" s="1" t="n">
        <v>0</v>
      </c>
    </row>
    <row r="68" customFormat="false" ht="15" hidden="false" customHeight="false" outlineLevel="0" collapsed="false">
      <c r="B68" s="23" t="s">
        <v>154</v>
      </c>
      <c r="C68" s="23" t="s">
        <v>155</v>
      </c>
      <c r="D68" s="23" t="n">
        <v>1</v>
      </c>
      <c r="E68" s="19" t="s">
        <v>25</v>
      </c>
      <c r="F68" s="19"/>
      <c r="G68" s="18" t="n">
        <v>1</v>
      </c>
      <c r="H68" s="18" t="s">
        <v>34</v>
      </c>
      <c r="I68" s="19" t="s">
        <v>156</v>
      </c>
      <c r="J68" s="1" t="n">
        <f aca="false">J67+D67</f>
        <v>9</v>
      </c>
      <c r="K68" s="1" t="n">
        <f aca="false">J68/8</f>
        <v>1.125</v>
      </c>
      <c r="L68" s="1" t="n">
        <f aca="false">J68/16</f>
        <v>0.5625</v>
      </c>
      <c r="M68" s="1" t="n">
        <f aca="false">J68/32</f>
        <v>0.28125</v>
      </c>
      <c r="N68" s="1" t="s">
        <v>68</v>
      </c>
      <c r="O68" s="3" t="n">
        <v>4</v>
      </c>
      <c r="P68" s="1" t="n">
        <v>5</v>
      </c>
      <c r="Q68" s="1" t="n">
        <v>0</v>
      </c>
    </row>
    <row r="69" customFormat="false" ht="15" hidden="false" customHeight="false" outlineLevel="0" collapsed="false">
      <c r="B69" s="23" t="s">
        <v>151</v>
      </c>
      <c r="C69" s="23" t="s">
        <v>152</v>
      </c>
      <c r="D69" s="23" t="n">
        <v>1</v>
      </c>
      <c r="E69" s="19" t="s">
        <v>25</v>
      </c>
      <c r="F69" s="19"/>
      <c r="G69" s="18" t="n">
        <v>1</v>
      </c>
      <c r="H69" s="18" t="s">
        <v>34</v>
      </c>
      <c r="I69" s="19" t="s">
        <v>153</v>
      </c>
      <c r="J69" s="1" t="n">
        <f aca="false">J68+D68</f>
        <v>10</v>
      </c>
      <c r="K69" s="1" t="n">
        <f aca="false">J69/8</f>
        <v>1.25</v>
      </c>
      <c r="L69" s="1" t="n">
        <f aca="false">J69/16</f>
        <v>0.625</v>
      </c>
      <c r="M69" s="1" t="n">
        <f aca="false">J69/32</f>
        <v>0.3125</v>
      </c>
      <c r="N69" s="1" t="s">
        <v>109</v>
      </c>
      <c r="O69" s="3" t="n">
        <v>2</v>
      </c>
      <c r="P69" s="1" t="n">
        <v>13</v>
      </c>
      <c r="Q69" s="1" t="n">
        <v>0</v>
      </c>
    </row>
    <row r="70" customFormat="false" ht="15" hidden="false" customHeight="false" outlineLevel="0" collapsed="false">
      <c r="B70" s="23" t="s">
        <v>148</v>
      </c>
      <c r="C70" s="23" t="s">
        <v>149</v>
      </c>
      <c r="D70" s="23" t="n">
        <v>1</v>
      </c>
      <c r="E70" s="19" t="s">
        <v>25</v>
      </c>
      <c r="F70" s="19"/>
      <c r="G70" s="18" t="n">
        <v>1</v>
      </c>
      <c r="H70" s="18" t="s">
        <v>34</v>
      </c>
      <c r="I70" s="19" t="s">
        <v>150</v>
      </c>
      <c r="J70" s="1" t="n">
        <f aca="false">J69+D69</f>
        <v>11</v>
      </c>
      <c r="K70" s="1" t="n">
        <f aca="false">J70/8</f>
        <v>1.375</v>
      </c>
      <c r="L70" s="1" t="n">
        <f aca="false">J70/16</f>
        <v>0.6875</v>
      </c>
      <c r="M70" s="1" t="n">
        <f aca="false">J70/32</f>
        <v>0.34375</v>
      </c>
      <c r="N70" s="1" t="s">
        <v>53</v>
      </c>
      <c r="O70" s="3" t="n">
        <v>3</v>
      </c>
      <c r="P70" s="1" t="n">
        <v>7</v>
      </c>
      <c r="Q70" s="1" t="n">
        <v>0</v>
      </c>
    </row>
    <row r="71" customFormat="false" ht="15" hidden="false" customHeight="false" outlineLevel="0" collapsed="false">
      <c r="B71" s="23" t="s">
        <v>145</v>
      </c>
      <c r="C71" s="23" t="s">
        <v>146</v>
      </c>
      <c r="D71" s="23" t="n">
        <v>1</v>
      </c>
      <c r="E71" s="19" t="s">
        <v>25</v>
      </c>
      <c r="F71" s="19"/>
      <c r="G71" s="18" t="n">
        <v>1</v>
      </c>
      <c r="H71" s="18" t="s">
        <v>34</v>
      </c>
      <c r="I71" s="19" t="s">
        <v>147</v>
      </c>
      <c r="J71" s="1" t="n">
        <f aca="false">J70+D70</f>
        <v>12</v>
      </c>
      <c r="K71" s="1" t="n">
        <f aca="false">J71/8</f>
        <v>1.5</v>
      </c>
      <c r="L71" s="1" t="n">
        <f aca="false">J71/16</f>
        <v>0.75</v>
      </c>
      <c r="M71" s="1" t="n">
        <f aca="false">J71/32</f>
        <v>0.375</v>
      </c>
      <c r="N71" s="1" t="s">
        <v>53</v>
      </c>
      <c r="O71" s="3" t="n">
        <v>3</v>
      </c>
      <c r="P71" s="1" t="n">
        <v>6</v>
      </c>
      <c r="Q71" s="1" t="n">
        <v>0</v>
      </c>
    </row>
    <row r="72" customFormat="false" ht="15" hidden="false" customHeight="false" outlineLevel="0" collapsed="false">
      <c r="B72" s="23" t="s">
        <v>142</v>
      </c>
      <c r="C72" s="23" t="s">
        <v>143</v>
      </c>
      <c r="D72" s="23" t="n">
        <v>1</v>
      </c>
      <c r="E72" s="19" t="s">
        <v>25</v>
      </c>
      <c r="F72" s="19"/>
      <c r="G72" s="18" t="n">
        <v>1</v>
      </c>
      <c r="H72" s="18" t="s">
        <v>34</v>
      </c>
      <c r="I72" s="19" t="s">
        <v>144</v>
      </c>
      <c r="J72" s="1" t="n">
        <f aca="false">J71+D71</f>
        <v>13</v>
      </c>
      <c r="K72" s="1" t="n">
        <f aca="false">J72/8</f>
        <v>1.625</v>
      </c>
      <c r="L72" s="1" t="n">
        <f aca="false">J72/16</f>
        <v>0.8125</v>
      </c>
      <c r="M72" s="1" t="n">
        <f aca="false">J72/32</f>
        <v>0.40625</v>
      </c>
      <c r="N72" s="1" t="s">
        <v>53</v>
      </c>
      <c r="O72" s="3" t="n">
        <v>3</v>
      </c>
      <c r="P72" s="1" t="n">
        <v>5</v>
      </c>
      <c r="Q72" s="1" t="n">
        <v>0</v>
      </c>
    </row>
    <row r="73" customFormat="false" ht="15" hidden="false" customHeight="false" outlineLevel="0" collapsed="false">
      <c r="B73" s="23" t="s">
        <v>139</v>
      </c>
      <c r="C73" s="23" t="s">
        <v>140</v>
      </c>
      <c r="D73" s="23" t="n">
        <v>1</v>
      </c>
      <c r="E73" s="19" t="s">
        <v>25</v>
      </c>
      <c r="F73" s="19"/>
      <c r="G73" s="18" t="n">
        <v>1</v>
      </c>
      <c r="H73" s="18" t="s">
        <v>34</v>
      </c>
      <c r="I73" s="19" t="s">
        <v>141</v>
      </c>
      <c r="J73" s="1" t="n">
        <f aca="false">J72+D72</f>
        <v>14</v>
      </c>
      <c r="K73" s="1" t="n">
        <f aca="false">J73/8</f>
        <v>1.75</v>
      </c>
      <c r="L73" s="1" t="n">
        <f aca="false">J73/16</f>
        <v>0.875</v>
      </c>
      <c r="M73" s="1" t="n">
        <f aca="false">J73/32</f>
        <v>0.4375</v>
      </c>
      <c r="N73" s="1" t="s">
        <v>109</v>
      </c>
      <c r="O73" s="3" t="n">
        <v>2</v>
      </c>
      <c r="P73" s="1" t="n">
        <v>3</v>
      </c>
      <c r="Q73" s="1" t="n">
        <v>0</v>
      </c>
    </row>
    <row r="74" customFormat="false" ht="15" hidden="false" customHeight="false" outlineLevel="0" collapsed="false">
      <c r="B74" s="23" t="s">
        <v>136</v>
      </c>
      <c r="C74" s="23" t="s">
        <v>137</v>
      </c>
      <c r="D74" s="23" t="n">
        <v>1</v>
      </c>
      <c r="E74" s="19" t="s">
        <v>25</v>
      </c>
      <c r="F74" s="19"/>
      <c r="G74" s="18" t="n">
        <v>1</v>
      </c>
      <c r="H74" s="18" t="s">
        <v>34</v>
      </c>
      <c r="I74" s="19" t="s">
        <v>138</v>
      </c>
      <c r="J74" s="1" t="n">
        <f aca="false">J73+D73</f>
        <v>15</v>
      </c>
      <c r="K74" s="1" t="n">
        <f aca="false">J74/8</f>
        <v>1.875</v>
      </c>
      <c r="L74" s="1" t="n">
        <f aca="false">J74/16</f>
        <v>0.9375</v>
      </c>
      <c r="M74" s="1" t="n">
        <f aca="false">J74/32</f>
        <v>0.46875</v>
      </c>
      <c r="N74" s="1" t="s">
        <v>109</v>
      </c>
      <c r="O74" s="3" t="n">
        <v>2</v>
      </c>
      <c r="P74" s="1" t="n">
        <v>2</v>
      </c>
      <c r="Q74" s="1" t="n">
        <v>0</v>
      </c>
    </row>
    <row r="75" customFormat="false" ht="15" hidden="false" customHeight="false" outlineLevel="0" collapsed="false">
      <c r="A75" s="1" t="s">
        <v>166</v>
      </c>
      <c r="B75" s="18"/>
      <c r="C75" s="18"/>
      <c r="D75" s="18"/>
      <c r="E75" s="18"/>
      <c r="F75" s="18"/>
      <c r="G75" s="18"/>
      <c r="H75" s="18"/>
      <c r="I75" s="19"/>
    </row>
    <row r="76" customFormat="false" ht="15" hidden="false" customHeight="false" outlineLevel="0" collapsed="false">
      <c r="B76" s="18" t="s">
        <v>168</v>
      </c>
      <c r="C76" s="18" t="s">
        <v>169</v>
      </c>
      <c r="D76" s="18" t="n">
        <v>8</v>
      </c>
      <c r="E76" s="19" t="s">
        <v>25</v>
      </c>
      <c r="F76" s="18"/>
      <c r="G76" s="18" t="n">
        <v>2</v>
      </c>
      <c r="H76" s="18" t="s">
        <v>34</v>
      </c>
      <c r="I76" s="19" t="s">
        <v>170</v>
      </c>
      <c r="J76" s="1" t="n">
        <f aca="false">J74+D74</f>
        <v>16</v>
      </c>
      <c r="K76" s="1" t="n">
        <f aca="false">J76/8</f>
        <v>2</v>
      </c>
      <c r="L76" s="1" t="n">
        <f aca="false">J76/16</f>
        <v>1</v>
      </c>
      <c r="M76" s="1" t="n">
        <f aca="false">J76/32</f>
        <v>0.5</v>
      </c>
      <c r="N76" s="1" t="s">
        <v>44</v>
      </c>
      <c r="O76" s="3" t="n">
        <v>1</v>
      </c>
      <c r="P76" s="1" t="n">
        <v>7</v>
      </c>
      <c r="Q76" s="1" t="n">
        <v>0</v>
      </c>
    </row>
    <row r="77" customFormat="false" ht="15" hidden="false" customHeight="false" outlineLevel="0" collapsed="false">
      <c r="B77" s="18" t="s">
        <v>171</v>
      </c>
      <c r="C77" s="18" t="s">
        <v>172</v>
      </c>
      <c r="D77" s="18" t="n">
        <v>8</v>
      </c>
      <c r="E77" s="19" t="s">
        <v>25</v>
      </c>
      <c r="F77" s="18"/>
      <c r="G77" s="18" t="n">
        <v>7</v>
      </c>
      <c r="H77" s="18" t="s">
        <v>173</v>
      </c>
      <c r="I77" s="19" t="s">
        <v>174</v>
      </c>
      <c r="J77" s="1" t="n">
        <f aca="false">J76+D76</f>
        <v>24</v>
      </c>
      <c r="K77" s="1" t="n">
        <f aca="false">J77/8</f>
        <v>3</v>
      </c>
      <c r="L77" s="1" t="n">
        <f aca="false">J77/16</f>
        <v>1.5</v>
      </c>
      <c r="M77" s="1" t="n">
        <f aca="false">J77/32</f>
        <v>0.75</v>
      </c>
      <c r="N77" s="1" t="s">
        <v>44</v>
      </c>
      <c r="O77" s="3" t="n">
        <v>1</v>
      </c>
      <c r="P77" s="1" t="n">
        <v>2</v>
      </c>
      <c r="Q77" s="1" t="n">
        <v>0</v>
      </c>
    </row>
    <row r="78" customFormat="false" ht="15" hidden="false" customHeight="false" outlineLevel="0" collapsed="false">
      <c r="B78" s="18" t="s">
        <v>175</v>
      </c>
      <c r="C78" s="18" t="s">
        <v>176</v>
      </c>
      <c r="D78" s="18" t="n">
        <v>8</v>
      </c>
      <c r="E78" s="19" t="s">
        <v>25</v>
      </c>
      <c r="F78" s="18"/>
      <c r="G78" s="18" t="n">
        <v>7</v>
      </c>
      <c r="H78" s="18" t="s">
        <v>173</v>
      </c>
      <c r="I78" s="19" t="s">
        <v>177</v>
      </c>
      <c r="J78" s="1" t="n">
        <f aca="false">J77+D77</f>
        <v>32</v>
      </c>
      <c r="K78" s="1" t="n">
        <f aca="false">J78/8</f>
        <v>4</v>
      </c>
      <c r="L78" s="1" t="n">
        <f aca="false">J78/16</f>
        <v>2</v>
      </c>
      <c r="M78" s="1" t="n">
        <f aca="false">J78/32</f>
        <v>1</v>
      </c>
      <c r="N78" s="1" t="s">
        <v>44</v>
      </c>
      <c r="O78" s="3" t="n">
        <v>1</v>
      </c>
      <c r="P78" s="1" t="n">
        <v>3</v>
      </c>
      <c r="Q78" s="1" t="n">
        <v>0</v>
      </c>
    </row>
    <row r="79" customFormat="false" ht="15" hidden="false" customHeight="false" outlineLevel="0" collapsed="false">
      <c r="B79" s="18" t="s">
        <v>178</v>
      </c>
      <c r="C79" s="18" t="s">
        <v>179</v>
      </c>
      <c r="D79" s="18" t="n">
        <v>8</v>
      </c>
      <c r="E79" s="19" t="s">
        <v>25</v>
      </c>
      <c r="F79" s="18"/>
      <c r="G79" s="18" t="n">
        <v>7</v>
      </c>
      <c r="H79" s="18" t="s">
        <v>173</v>
      </c>
      <c r="I79" s="19" t="s">
        <v>180</v>
      </c>
      <c r="J79" s="1" t="n">
        <f aca="false">J78+D78</f>
        <v>40</v>
      </c>
      <c r="K79" s="1" t="n">
        <f aca="false">J79/8</f>
        <v>5</v>
      </c>
      <c r="L79" s="1" t="n">
        <f aca="false">J79/16</f>
        <v>2.5</v>
      </c>
      <c r="M79" s="1" t="n">
        <f aca="false">J79/32</f>
        <v>1.25</v>
      </c>
      <c r="N79" s="1" t="s">
        <v>44</v>
      </c>
      <c r="O79" s="3" t="n">
        <v>1</v>
      </c>
      <c r="P79" s="1" t="n">
        <v>4</v>
      </c>
      <c r="Q79" s="1" t="n">
        <v>0</v>
      </c>
    </row>
    <row r="80" customFormat="false" ht="30" hidden="false" customHeight="false" outlineLevel="0" collapsed="false">
      <c r="B80" s="18" t="s">
        <v>181</v>
      </c>
      <c r="C80" s="18" t="s">
        <v>182</v>
      </c>
      <c r="D80" s="18" t="n">
        <v>8</v>
      </c>
      <c r="E80" s="19" t="s">
        <v>25</v>
      </c>
      <c r="F80" s="18"/>
      <c r="G80" s="18" t="n">
        <v>8</v>
      </c>
      <c r="H80" s="18" t="s">
        <v>51</v>
      </c>
      <c r="I80" s="19" t="s">
        <v>183</v>
      </c>
      <c r="J80" s="1" t="n">
        <f aca="false">J79+D79</f>
        <v>48</v>
      </c>
      <c r="K80" s="1" t="n">
        <f aca="false">J80/8</f>
        <v>6</v>
      </c>
      <c r="L80" s="1" t="n">
        <f aca="false">J80/16</f>
        <v>3</v>
      </c>
      <c r="M80" s="1" t="n">
        <f aca="false">J80/32</f>
        <v>1.5</v>
      </c>
      <c r="N80" s="1" t="s">
        <v>44</v>
      </c>
      <c r="O80" s="3" t="n">
        <v>1</v>
      </c>
      <c r="P80" s="1" t="n">
        <v>5</v>
      </c>
      <c r="Q80" s="1" t="n">
        <v>0</v>
      </c>
    </row>
    <row r="81" customFormat="false" ht="30" hidden="false" customHeight="false" outlineLevel="0" collapsed="false">
      <c r="B81" s="18" t="s">
        <v>184</v>
      </c>
      <c r="C81" s="18" t="s">
        <v>185</v>
      </c>
      <c r="D81" s="18" t="n">
        <v>8</v>
      </c>
      <c r="E81" s="19" t="s">
        <v>25</v>
      </c>
      <c r="F81" s="18"/>
      <c r="G81" s="18" t="n">
        <v>8</v>
      </c>
      <c r="H81" s="18" t="s">
        <v>51</v>
      </c>
      <c r="I81" s="19" t="s">
        <v>186</v>
      </c>
      <c r="J81" s="1" t="n">
        <f aca="false">J80+D80</f>
        <v>56</v>
      </c>
      <c r="K81" s="1" t="n">
        <f aca="false">J81/8</f>
        <v>7</v>
      </c>
      <c r="L81" s="1" t="n">
        <f aca="false">J81/16</f>
        <v>3.5</v>
      </c>
      <c r="M81" s="1" t="n">
        <f aca="false">J81/32</f>
        <v>1.75</v>
      </c>
      <c r="N81" s="1" t="s">
        <v>44</v>
      </c>
      <c r="O81" s="3" t="n">
        <v>1</v>
      </c>
      <c r="P81" s="1" t="n">
        <v>6</v>
      </c>
      <c r="Q81" s="1" t="n">
        <v>0</v>
      </c>
    </row>
    <row r="82" customFormat="false" ht="30" hidden="false" customHeight="false" outlineLevel="0" collapsed="false">
      <c r="B82" s="18" t="s">
        <v>187</v>
      </c>
      <c r="C82" s="18" t="s">
        <v>188</v>
      </c>
      <c r="D82" s="18" t="n">
        <v>8</v>
      </c>
      <c r="E82" s="19" t="s">
        <v>25</v>
      </c>
      <c r="F82" s="18"/>
      <c r="G82" s="18" t="n">
        <v>7</v>
      </c>
      <c r="H82" s="18" t="s">
        <v>173</v>
      </c>
      <c r="I82" s="19" t="s">
        <v>189</v>
      </c>
      <c r="J82" s="1" t="n">
        <f aca="false">J81+D81</f>
        <v>64</v>
      </c>
      <c r="K82" s="1" t="n">
        <f aca="false">J82/8</f>
        <v>8</v>
      </c>
      <c r="L82" s="1" t="n">
        <f aca="false">J82/16</f>
        <v>4</v>
      </c>
      <c r="M82" s="1" t="n">
        <f aca="false">J82/32</f>
        <v>2</v>
      </c>
      <c r="N82" s="1" t="s">
        <v>53</v>
      </c>
      <c r="O82" s="3" t="n">
        <v>3</v>
      </c>
      <c r="P82" s="1" t="n">
        <v>8</v>
      </c>
      <c r="Q82" s="1" t="n">
        <v>0</v>
      </c>
    </row>
    <row r="83" customFormat="false" ht="15" hidden="false" customHeight="false" outlineLevel="0" collapsed="false">
      <c r="B83" s="18" t="s">
        <v>190</v>
      </c>
      <c r="C83" s="18" t="s">
        <v>191</v>
      </c>
      <c r="D83" s="18" t="n">
        <v>8</v>
      </c>
      <c r="E83" s="19" t="s">
        <v>25</v>
      </c>
      <c r="F83" s="18"/>
      <c r="G83" s="18" t="n">
        <v>7</v>
      </c>
      <c r="H83" s="18" t="s">
        <v>173</v>
      </c>
      <c r="I83" s="19" t="s">
        <v>192</v>
      </c>
      <c r="J83" s="1" t="n">
        <f aca="false">J82+D82</f>
        <v>72</v>
      </c>
      <c r="K83" s="1" t="n">
        <f aca="false">J83/8</f>
        <v>9</v>
      </c>
      <c r="L83" s="1" t="n">
        <f aca="false">J83/16</f>
        <v>4.5</v>
      </c>
      <c r="M83" s="1" t="n">
        <f aca="false">J83/32</f>
        <v>2.25</v>
      </c>
      <c r="N83" s="1" t="s">
        <v>53</v>
      </c>
      <c r="O83" s="3" t="n">
        <v>3</v>
      </c>
      <c r="P83" s="1" t="n">
        <v>9</v>
      </c>
      <c r="Q83" s="1" t="n">
        <v>0</v>
      </c>
    </row>
    <row r="84" customFormat="false" ht="15" hidden="false" customHeight="false" outlineLevel="0" collapsed="false">
      <c r="B84" s="18" t="s">
        <v>193</v>
      </c>
      <c r="C84" s="18" t="s">
        <v>194</v>
      </c>
      <c r="D84" s="18" t="n">
        <v>8</v>
      </c>
      <c r="E84" s="19" t="s">
        <v>25</v>
      </c>
      <c r="F84" s="18"/>
      <c r="G84" s="18" t="n">
        <v>7</v>
      </c>
      <c r="H84" s="18" t="s">
        <v>173</v>
      </c>
      <c r="I84" s="19" t="s">
        <v>195</v>
      </c>
      <c r="J84" s="1" t="n">
        <f aca="false">J83+D83</f>
        <v>80</v>
      </c>
      <c r="K84" s="1" t="n">
        <f aca="false">J84/8</f>
        <v>10</v>
      </c>
      <c r="L84" s="1" t="n">
        <f aca="false">J84/16</f>
        <v>5</v>
      </c>
      <c r="M84" s="1" t="n">
        <f aca="false">J84/32</f>
        <v>2.5</v>
      </c>
      <c r="N84" s="1" t="s">
        <v>53</v>
      </c>
      <c r="O84" s="3" t="n">
        <v>3</v>
      </c>
      <c r="P84" s="1" t="n">
        <v>10</v>
      </c>
      <c r="Q84" s="1" t="n">
        <v>0</v>
      </c>
    </row>
    <row r="85" customFormat="false" ht="15" hidden="false" customHeight="false" outlineLevel="0" collapsed="false">
      <c r="B85" s="23" t="s">
        <v>196</v>
      </c>
      <c r="C85" s="23" t="s">
        <v>197</v>
      </c>
      <c r="D85" s="23" t="n">
        <v>8</v>
      </c>
      <c r="E85" s="19" t="s">
        <v>65</v>
      </c>
      <c r="F85" s="19"/>
      <c r="G85" s="18" t="n">
        <v>2</v>
      </c>
      <c r="H85" s="18" t="s">
        <v>34</v>
      </c>
      <c r="I85" s="19" t="s">
        <v>198</v>
      </c>
      <c r="J85" s="1" t="n">
        <f aca="false">J84+D84</f>
        <v>88</v>
      </c>
      <c r="K85" s="1" t="n">
        <f aca="false">J85/8</f>
        <v>11</v>
      </c>
      <c r="L85" s="1" t="n">
        <f aca="false">J85/16</f>
        <v>5.5</v>
      </c>
      <c r="M85" s="1" t="n">
        <f aca="false">J85/32</f>
        <v>2.75</v>
      </c>
      <c r="N85" s="1" t="s">
        <v>44</v>
      </c>
      <c r="O85" s="3" t="n">
        <v>1</v>
      </c>
      <c r="P85" s="1" t="n">
        <v>10</v>
      </c>
      <c r="Q85" s="1" t="n">
        <v>0</v>
      </c>
    </row>
    <row r="86" customFormat="false" ht="30" hidden="false" customHeight="false" outlineLevel="0" collapsed="false">
      <c r="B86" s="23" t="s">
        <v>199</v>
      </c>
      <c r="C86" s="23" t="s">
        <v>200</v>
      </c>
      <c r="D86" s="23" t="n">
        <v>8</v>
      </c>
      <c r="E86" s="19" t="s">
        <v>25</v>
      </c>
      <c r="F86" s="19"/>
      <c r="G86" s="18" t="n">
        <v>2</v>
      </c>
      <c r="H86" s="18" t="s">
        <v>34</v>
      </c>
      <c r="I86" s="19" t="s">
        <v>201</v>
      </c>
      <c r="J86" s="1" t="n">
        <f aca="false">J85+D85</f>
        <v>96</v>
      </c>
      <c r="K86" s="1" t="n">
        <f aca="false">J86/8</f>
        <v>12</v>
      </c>
      <c r="L86" s="1" t="n">
        <f aca="false">J86/16</f>
        <v>6</v>
      </c>
      <c r="M86" s="1" t="n">
        <f aca="false">J86/32</f>
        <v>3</v>
      </c>
      <c r="N86" s="1" t="s">
        <v>44</v>
      </c>
      <c r="O86" s="3" t="n">
        <v>1</v>
      </c>
      <c r="P86" s="1" t="n">
        <v>8</v>
      </c>
      <c r="Q86" s="1" t="n">
        <v>0</v>
      </c>
    </row>
    <row r="87" customFormat="false" ht="15.9" hidden="false" customHeight="false" outlineLevel="0" collapsed="false">
      <c r="B87" s="23" t="s">
        <v>129</v>
      </c>
      <c r="C87" s="23" t="s">
        <v>202</v>
      </c>
      <c r="D87" s="21" t="n">
        <v>24</v>
      </c>
      <c r="E87" s="18" t="s">
        <v>25</v>
      </c>
      <c r="F87" s="18"/>
      <c r="G87" s="18" t="n">
        <v>0</v>
      </c>
      <c r="H87" s="18" t="s">
        <v>34</v>
      </c>
      <c r="I87" s="19" t="s">
        <v>203</v>
      </c>
      <c r="J87" s="1" t="n">
        <f aca="false">J86+D86</f>
        <v>104</v>
      </c>
      <c r="K87" s="1" t="n">
        <f aca="false">J87/8</f>
        <v>13</v>
      </c>
      <c r="L87" s="1" t="n">
        <f aca="false">J87/16</f>
        <v>6.5</v>
      </c>
      <c r="M87" s="1" t="n">
        <f aca="false">J87/32</f>
        <v>3.25</v>
      </c>
      <c r="N87" s="1" t="s">
        <v>28</v>
      </c>
      <c r="O87" s="3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23" t="s">
        <v>204</v>
      </c>
      <c r="C88" s="23" t="s">
        <v>205</v>
      </c>
      <c r="D88" s="23" t="n">
        <v>32</v>
      </c>
      <c r="E88" s="19" t="s">
        <v>25</v>
      </c>
      <c r="F88" s="19"/>
      <c r="G88" s="18" t="n">
        <v>0</v>
      </c>
      <c r="H88" s="18" t="s">
        <v>34</v>
      </c>
      <c r="I88" s="23" t="s">
        <v>206</v>
      </c>
      <c r="J88" s="1" t="n">
        <f aca="false">J87+D87</f>
        <v>128</v>
      </c>
      <c r="K88" s="1" t="n">
        <f aca="false">J88/8</f>
        <v>16</v>
      </c>
      <c r="L88" s="1" t="n">
        <f aca="false">J88/16</f>
        <v>8</v>
      </c>
      <c r="M88" s="1" t="n">
        <f aca="false">J88/32</f>
        <v>4</v>
      </c>
      <c r="N88" s="1" t="s">
        <v>44</v>
      </c>
      <c r="O88" s="3" t="n">
        <v>1</v>
      </c>
      <c r="P88" s="1" t="n">
        <v>9</v>
      </c>
      <c r="Q88" s="1" t="n">
        <v>0</v>
      </c>
    </row>
    <row r="89" customFormat="false" ht="15" hidden="false" customHeight="false" outlineLevel="0" collapsed="false">
      <c r="B89" s="23" t="s">
        <v>207</v>
      </c>
      <c r="C89" s="23" t="s">
        <v>208</v>
      </c>
      <c r="D89" s="23" t="n">
        <v>8</v>
      </c>
      <c r="E89" s="19" t="s">
        <v>65</v>
      </c>
      <c r="F89" s="19"/>
      <c r="G89" s="18" t="n">
        <v>0</v>
      </c>
      <c r="H89" s="18" t="s">
        <v>34</v>
      </c>
      <c r="I89" s="19" t="s">
        <v>209</v>
      </c>
      <c r="J89" s="1" t="n">
        <f aca="false">J88+D88</f>
        <v>160</v>
      </c>
      <c r="K89" s="1" t="n">
        <f aca="false">J89/8</f>
        <v>20</v>
      </c>
      <c r="L89" s="1" t="n">
        <f aca="false">J89/16</f>
        <v>10</v>
      </c>
      <c r="M89" s="1" t="n">
        <f aca="false">J89/32</f>
        <v>5</v>
      </c>
      <c r="N89" s="1" t="s">
        <v>109</v>
      </c>
      <c r="O89" s="3" t="n">
        <v>2</v>
      </c>
      <c r="P89" s="1" t="n">
        <v>4</v>
      </c>
      <c r="Q89" s="1" t="n">
        <v>0</v>
      </c>
    </row>
    <row r="90" customFormat="false" ht="15" hidden="false" customHeight="false" outlineLevel="0" collapsed="false">
      <c r="B90" s="23" t="s">
        <v>210</v>
      </c>
      <c r="C90" s="23" t="s">
        <v>211</v>
      </c>
      <c r="D90" s="23" t="n">
        <v>8</v>
      </c>
      <c r="E90" s="19" t="s">
        <v>65</v>
      </c>
      <c r="F90" s="19"/>
      <c r="G90" s="18" t="n">
        <v>0</v>
      </c>
      <c r="H90" s="18" t="s">
        <v>34</v>
      </c>
      <c r="I90" s="19" t="s">
        <v>212</v>
      </c>
      <c r="J90" s="1" t="n">
        <f aca="false">J89+D89</f>
        <v>168</v>
      </c>
      <c r="K90" s="1" t="n">
        <f aca="false">J90/8</f>
        <v>21</v>
      </c>
      <c r="L90" s="1" t="n">
        <f aca="false">J90/16</f>
        <v>10.5</v>
      </c>
      <c r="M90" s="1" t="n">
        <f aca="false">J90/32</f>
        <v>5.25</v>
      </c>
      <c r="N90" s="1" t="s">
        <v>109</v>
      </c>
      <c r="O90" s="3" t="n">
        <v>2</v>
      </c>
      <c r="P90" s="1" t="n">
        <v>5</v>
      </c>
      <c r="Q90" s="1" t="n">
        <v>0</v>
      </c>
    </row>
    <row r="91" customFormat="false" ht="15" hidden="false" customHeight="false" outlineLevel="0" collapsed="false">
      <c r="B91" s="23" t="s">
        <v>213</v>
      </c>
      <c r="C91" s="23" t="s">
        <v>214</v>
      </c>
      <c r="D91" s="23" t="n">
        <v>8</v>
      </c>
      <c r="E91" s="19" t="s">
        <v>65</v>
      </c>
      <c r="F91" s="19"/>
      <c r="G91" s="18" t="n">
        <v>0</v>
      </c>
      <c r="H91" s="18" t="s">
        <v>34</v>
      </c>
      <c r="I91" s="19" t="s">
        <v>215</v>
      </c>
      <c r="J91" s="1" t="n">
        <f aca="false">J90+D90</f>
        <v>176</v>
      </c>
      <c r="K91" s="1" t="n">
        <f aca="false">J91/8</f>
        <v>22</v>
      </c>
      <c r="L91" s="1" t="n">
        <f aca="false">J91/16</f>
        <v>11</v>
      </c>
      <c r="M91" s="1" t="n">
        <f aca="false">J91/32</f>
        <v>5.5</v>
      </c>
      <c r="N91" s="1" t="s">
        <v>109</v>
      </c>
      <c r="O91" s="3" t="n">
        <v>2</v>
      </c>
      <c r="P91" s="1" t="n">
        <v>6</v>
      </c>
      <c r="Q91" s="1" t="n">
        <v>0</v>
      </c>
    </row>
    <row r="92" customFormat="false" ht="15" hidden="false" customHeight="false" outlineLevel="0" collapsed="false">
      <c r="B92" s="23" t="s">
        <v>216</v>
      </c>
      <c r="C92" s="23" t="s">
        <v>217</v>
      </c>
      <c r="D92" s="23" t="n">
        <v>8</v>
      </c>
      <c r="E92" s="19" t="s">
        <v>65</v>
      </c>
      <c r="F92" s="19"/>
      <c r="G92" s="18" t="n">
        <v>0</v>
      </c>
      <c r="H92" s="18" t="s">
        <v>34</v>
      </c>
      <c r="I92" s="19" t="s">
        <v>218</v>
      </c>
      <c r="J92" s="1" t="n">
        <f aca="false">J91+D91</f>
        <v>184</v>
      </c>
      <c r="K92" s="1" t="n">
        <f aca="false">J92/8</f>
        <v>23</v>
      </c>
      <c r="L92" s="1" t="n">
        <f aca="false">J92/16</f>
        <v>11.5</v>
      </c>
      <c r="M92" s="1" t="n">
        <f aca="false">J92/32</f>
        <v>5.75</v>
      </c>
      <c r="N92" s="1" t="s">
        <v>109</v>
      </c>
      <c r="O92" s="3" t="n">
        <v>2</v>
      </c>
      <c r="P92" s="1" t="n">
        <v>7</v>
      </c>
      <c r="Q92" s="1" t="n">
        <v>0</v>
      </c>
    </row>
    <row r="93" s="13" customFormat="true" ht="27.75" hidden="false" customHeight="true" outlineLevel="0" collapsed="false">
      <c r="A93" s="13" t="s">
        <v>45</v>
      </c>
      <c r="B93" s="24"/>
      <c r="C93" s="25"/>
      <c r="D93" s="26"/>
      <c r="E93" s="26"/>
      <c r="F93" s="26"/>
      <c r="G93" s="26"/>
      <c r="H93" s="25"/>
      <c r="I93" s="26" t="s">
        <v>219</v>
      </c>
      <c r="J93" s="1" t="n">
        <f aca="false">J92+D92</f>
        <v>192</v>
      </c>
      <c r="K93" s="1" t="n">
        <f aca="false">J93/8</f>
        <v>24</v>
      </c>
      <c r="L93" s="1" t="n">
        <f aca="false">J93/16</f>
        <v>12</v>
      </c>
      <c r="M93" s="1" t="n">
        <f aca="false">J93/32</f>
        <v>6</v>
      </c>
      <c r="O93" s="17"/>
    </row>
    <row r="94" customFormat="false" ht="15" hidden="false" customHeight="false" outlineLevel="0" collapsed="false">
      <c r="B94" s="20"/>
    </row>
    <row r="95" customFormat="false" ht="15" hidden="false" customHeight="false" outlineLevel="0" collapsed="false">
      <c r="A95" s="1" t="s">
        <v>0</v>
      </c>
    </row>
    <row r="96" customFormat="false" ht="15" hidden="false" customHeight="false" outlineLevel="0" collapsed="false">
      <c r="A96" s="1" t="s">
        <v>220</v>
      </c>
      <c r="B96" s="23"/>
      <c r="C96" s="23"/>
      <c r="D96" s="23"/>
      <c r="E96" s="19"/>
      <c r="F96" s="19"/>
      <c r="G96" s="19"/>
      <c r="H96" s="19"/>
      <c r="I96" s="19"/>
      <c r="J96" s="22"/>
      <c r="K96" s="22"/>
      <c r="L96" s="22"/>
      <c r="M96" s="22"/>
    </row>
    <row r="97" customFormat="false" ht="15" hidden="false" customHeight="false" outlineLevel="0" collapsed="false">
      <c r="B97" s="23" t="s">
        <v>165</v>
      </c>
      <c r="C97" s="23" t="s">
        <v>221</v>
      </c>
      <c r="D97" s="23" t="n">
        <v>32</v>
      </c>
      <c r="E97" s="19" t="s">
        <v>65</v>
      </c>
      <c r="F97" s="19"/>
      <c r="G97" s="19" t="n">
        <v>0</v>
      </c>
      <c r="H97" s="18" t="s">
        <v>34</v>
      </c>
      <c r="I97" s="19" t="s">
        <v>165</v>
      </c>
      <c r="J97" s="22" t="n">
        <v>0</v>
      </c>
      <c r="K97" s="22" t="n">
        <f aca="false">J97/8</f>
        <v>0</v>
      </c>
      <c r="L97" s="22" t="n">
        <f aca="false">J97/16</f>
        <v>0</v>
      </c>
      <c r="M97" s="22" t="n">
        <f aca="false">J97/32</f>
        <v>0</v>
      </c>
      <c r="N97" s="1" t="s">
        <v>28</v>
      </c>
      <c r="O97" s="3" t="n">
        <v>0</v>
      </c>
      <c r="P97" s="1" t="n">
        <v>0</v>
      </c>
      <c r="Q97" s="1" t="n">
        <v>0</v>
      </c>
    </row>
    <row r="98" s="13" customFormat="true" ht="15.75" hidden="false" customHeight="false" outlineLevel="0" collapsed="false">
      <c r="A98" s="13" t="s">
        <v>45</v>
      </c>
      <c r="B98" s="24"/>
      <c r="C98" s="25"/>
      <c r="D98" s="26"/>
      <c r="E98" s="26"/>
      <c r="F98" s="26"/>
      <c r="G98" s="26"/>
      <c r="H98" s="25"/>
      <c r="I98" s="26" t="s">
        <v>219</v>
      </c>
      <c r="J98" s="1" t="n">
        <f aca="false">J97+D97</f>
        <v>32</v>
      </c>
      <c r="K98" s="1" t="n">
        <f aca="false">J98/8</f>
        <v>4</v>
      </c>
      <c r="L98" s="1" t="n">
        <f aca="false">J98/16</f>
        <v>2</v>
      </c>
      <c r="M98" s="1" t="n">
        <f aca="false">J98/32</f>
        <v>1</v>
      </c>
      <c r="O98" s="17"/>
    </row>
    <row r="99" s="13" customFormat="true" ht="15.75" hidden="false" customHeight="false" outlineLevel="0" collapsed="false">
      <c r="B99" s="24"/>
      <c r="C99" s="25"/>
      <c r="D99" s="26"/>
      <c r="E99" s="26"/>
      <c r="F99" s="26"/>
      <c r="G99" s="26"/>
      <c r="H99" s="25"/>
      <c r="I99" s="26"/>
      <c r="J99" s="22"/>
      <c r="K99" s="22"/>
      <c r="L99" s="22"/>
      <c r="M99" s="22"/>
      <c r="O99" s="17"/>
    </row>
    <row r="100" customFormat="false" ht="15" hidden="false" customHeight="false" outlineLevel="0" collapsed="false">
      <c r="A100" s="1" t="s">
        <v>222</v>
      </c>
      <c r="B100" s="20"/>
    </row>
    <row r="101" customFormat="false" ht="15" hidden="false" customHeight="false" outlineLevel="0" collapsed="false">
      <c r="B101" s="23" t="s">
        <v>223</v>
      </c>
      <c r="C101" s="23" t="s">
        <v>224</v>
      </c>
      <c r="D101" s="21" t="n">
        <v>32</v>
      </c>
      <c r="E101" s="27" t="s">
        <v>225</v>
      </c>
      <c r="F101" s="19"/>
      <c r="G101" s="18" t="n">
        <v>0</v>
      </c>
      <c r="H101" s="3" t="s">
        <v>226</v>
      </c>
      <c r="I101" s="22" t="s">
        <v>227</v>
      </c>
      <c r="J101" s="22" t="n">
        <v>0</v>
      </c>
      <c r="K101" s="22" t="n">
        <f aca="false">J101/8</f>
        <v>0</v>
      </c>
      <c r="L101" s="22" t="n">
        <f aca="false">J101/16</f>
        <v>0</v>
      </c>
      <c r="M101" s="22" t="n">
        <f aca="false">J101/32</f>
        <v>0</v>
      </c>
      <c r="N101" s="1" t="s">
        <v>28</v>
      </c>
      <c r="O101" s="3" t="n">
        <v>0</v>
      </c>
      <c r="P101" s="1" t="n">
        <v>0</v>
      </c>
      <c r="Q101" s="1" t="n">
        <v>0</v>
      </c>
    </row>
    <row r="102" customFormat="false" ht="15" hidden="false" customHeight="false" outlineLevel="0" collapsed="false">
      <c r="B102" s="23" t="s">
        <v>228</v>
      </c>
      <c r="C102" s="23" t="s">
        <v>229</v>
      </c>
      <c r="D102" s="21" t="n">
        <v>16</v>
      </c>
      <c r="E102" s="27" t="s">
        <v>25</v>
      </c>
      <c r="F102" s="19"/>
      <c r="G102" s="18" t="n">
        <v>0</v>
      </c>
      <c r="I102" s="22" t="s">
        <v>230</v>
      </c>
      <c r="J102" s="1" t="n">
        <f aca="false">J101+D101</f>
        <v>32</v>
      </c>
      <c r="K102" s="1" t="n">
        <f aca="false">J102/8</f>
        <v>4</v>
      </c>
      <c r="L102" s="1" t="n">
        <f aca="false">J102/16</f>
        <v>2</v>
      </c>
      <c r="M102" s="1" t="n">
        <f aca="false">J102/32</f>
        <v>1</v>
      </c>
      <c r="N102" s="1" t="s">
        <v>28</v>
      </c>
      <c r="O102" s="3" t="n">
        <v>0</v>
      </c>
      <c r="P102" s="1" t="n">
        <v>0</v>
      </c>
      <c r="Q102" s="1" t="n">
        <v>0</v>
      </c>
    </row>
    <row r="103" customFormat="false" ht="15" hidden="false" customHeight="false" outlineLevel="0" collapsed="false">
      <c r="B103" s="23" t="s">
        <v>231</v>
      </c>
      <c r="C103" s="23" t="s">
        <v>232</v>
      </c>
      <c r="D103" s="21" t="n">
        <v>8</v>
      </c>
      <c r="E103" s="27" t="s">
        <v>225</v>
      </c>
      <c r="F103" s="19"/>
      <c r="G103" s="18" t="n">
        <v>0</v>
      </c>
      <c r="H103" s="18" t="s">
        <v>34</v>
      </c>
      <c r="I103" s="22" t="s">
        <v>233</v>
      </c>
      <c r="J103" s="1" t="n">
        <f aca="false">J102+D102</f>
        <v>48</v>
      </c>
      <c r="K103" s="1" t="n">
        <f aca="false">J103/8</f>
        <v>6</v>
      </c>
      <c r="L103" s="1" t="n">
        <f aca="false">J103/16</f>
        <v>3</v>
      </c>
      <c r="M103" s="1" t="n">
        <f aca="false">J103/32</f>
        <v>1.5</v>
      </c>
      <c r="N103" s="1" t="s">
        <v>28</v>
      </c>
      <c r="O103" s="3" t="n">
        <v>0</v>
      </c>
      <c r="P103" s="1" t="n">
        <v>0</v>
      </c>
      <c r="Q103" s="1" t="n">
        <v>0</v>
      </c>
    </row>
    <row r="104" customFormat="false" ht="15" hidden="false" customHeight="false" outlineLevel="0" collapsed="false">
      <c r="B104" s="23" t="s">
        <v>129</v>
      </c>
      <c r="C104" s="23" t="s">
        <v>234</v>
      </c>
      <c r="D104" s="21" t="n">
        <v>8</v>
      </c>
      <c r="E104" s="27"/>
      <c r="F104" s="19"/>
      <c r="G104" s="18" t="n">
        <v>0</v>
      </c>
      <c r="H104" s="18" t="s">
        <v>34</v>
      </c>
      <c r="I104" s="22" t="s">
        <v>235</v>
      </c>
      <c r="J104" s="1" t="n">
        <f aca="false">J103+D103</f>
        <v>56</v>
      </c>
      <c r="K104" s="1" t="n">
        <f aca="false">J104/8</f>
        <v>7</v>
      </c>
      <c r="L104" s="1" t="n">
        <f aca="false">J104/16</f>
        <v>3.5</v>
      </c>
      <c r="M104" s="1" t="n">
        <f aca="false">J104/32</f>
        <v>1.75</v>
      </c>
      <c r="N104" s="1" t="s">
        <v>28</v>
      </c>
      <c r="O104" s="3" t="n">
        <v>0</v>
      </c>
      <c r="P104" s="1" t="n">
        <v>0</v>
      </c>
      <c r="Q104" s="1" t="n">
        <v>0</v>
      </c>
    </row>
    <row r="105" customFormat="false" ht="15.75" hidden="false" customHeight="false" outlineLevel="0" collapsed="false">
      <c r="A105" s="1" t="s">
        <v>45</v>
      </c>
      <c r="B105" s="20"/>
      <c r="C105" s="25"/>
      <c r="D105" s="26"/>
      <c r="E105" s="26"/>
      <c r="F105" s="26"/>
      <c r="G105" s="26"/>
      <c r="H105" s="25"/>
      <c r="I105" s="26" t="s">
        <v>219</v>
      </c>
      <c r="J105" s="1" t="n">
        <f aca="false">J104+D104</f>
        <v>64</v>
      </c>
      <c r="K105" s="1" t="n">
        <f aca="false">J105/8</f>
        <v>8</v>
      </c>
      <c r="L105" s="1" t="n">
        <f aca="false">J105/16</f>
        <v>4</v>
      </c>
      <c r="M105" s="1" t="n">
        <f aca="false">J105/32</f>
        <v>2</v>
      </c>
    </row>
    <row r="106" customFormat="false" ht="15" hidden="false" customHeight="false" outlineLevel="0" collapsed="false">
      <c r="B106" s="20"/>
    </row>
    <row r="107" customFormat="false" ht="15" hidden="false" customHeight="false" outlineLevel="0" collapsed="false">
      <c r="B107" s="20"/>
    </row>
    <row r="108" customFormat="false" ht="15" hidden="false" customHeight="false" outlineLevel="0" collapsed="false">
      <c r="A108" s="1" t="s">
        <v>236</v>
      </c>
      <c r="B108" s="20"/>
    </row>
    <row r="109" customFormat="false" ht="15" hidden="false" customHeight="false" outlineLevel="0" collapsed="false">
      <c r="B109" s="23" t="s">
        <v>237</v>
      </c>
      <c r="C109" s="23" t="s">
        <v>238</v>
      </c>
      <c r="D109" s="21" t="n">
        <v>32</v>
      </c>
      <c r="E109" s="27"/>
      <c r="F109" s="19"/>
      <c r="G109" s="18" t="n">
        <v>0</v>
      </c>
      <c r="H109" s="3" t="s">
        <v>226</v>
      </c>
      <c r="I109" s="22" t="s">
        <v>227</v>
      </c>
      <c r="J109" s="22" t="n">
        <v>0</v>
      </c>
      <c r="K109" s="22" t="n">
        <f aca="false">J109/8</f>
        <v>0</v>
      </c>
      <c r="L109" s="22" t="n">
        <f aca="false">J109/16</f>
        <v>0</v>
      </c>
      <c r="M109" s="22" t="n">
        <f aca="false">J109/32</f>
        <v>0</v>
      </c>
      <c r="N109" s="1" t="s">
        <v>28</v>
      </c>
      <c r="O109" s="3" t="n">
        <v>0</v>
      </c>
      <c r="P109" s="1" t="n">
        <v>0</v>
      </c>
      <c r="Q109" s="1" t="n">
        <v>0</v>
      </c>
    </row>
    <row r="110" customFormat="false" ht="15" hidden="false" customHeight="false" outlineLevel="0" collapsed="false">
      <c r="B110" s="23" t="s">
        <v>239</v>
      </c>
      <c r="C110" s="23" t="s">
        <v>240</v>
      </c>
      <c r="D110" s="21" t="n">
        <v>16</v>
      </c>
      <c r="E110" s="27" t="s">
        <v>25</v>
      </c>
      <c r="F110" s="19"/>
      <c r="G110" s="18" t="n">
        <v>0</v>
      </c>
      <c r="I110" s="22" t="s">
        <v>230</v>
      </c>
      <c r="J110" s="1" t="n">
        <f aca="false">J109+D109</f>
        <v>32</v>
      </c>
      <c r="K110" s="1" t="n">
        <f aca="false">J110/8</f>
        <v>4</v>
      </c>
      <c r="L110" s="1" t="n">
        <f aca="false">J110/16</f>
        <v>2</v>
      </c>
      <c r="M110" s="1" t="n">
        <f aca="false">J110/32</f>
        <v>1</v>
      </c>
      <c r="N110" s="1" t="s">
        <v>28</v>
      </c>
      <c r="O110" s="3" t="n">
        <v>0</v>
      </c>
      <c r="P110" s="1" t="n">
        <v>0</v>
      </c>
      <c r="Q110" s="1" t="n">
        <v>0</v>
      </c>
    </row>
    <row r="111" customFormat="false" ht="15" hidden="false" customHeight="false" outlineLevel="0" collapsed="false">
      <c r="B111" s="23" t="s">
        <v>241</v>
      </c>
      <c r="C111" s="23" t="s">
        <v>242</v>
      </c>
      <c r="D111" s="21" t="n">
        <v>16</v>
      </c>
      <c r="E111" s="27"/>
      <c r="F111" s="19"/>
      <c r="G111" s="18" t="n">
        <v>0</v>
      </c>
      <c r="I111" s="22" t="s">
        <v>243</v>
      </c>
      <c r="J111" s="1" t="n">
        <f aca="false">J110+D110</f>
        <v>48</v>
      </c>
      <c r="K111" s="1" t="n">
        <f aca="false">J111/8</f>
        <v>6</v>
      </c>
      <c r="L111" s="1" t="n">
        <f aca="false">J111/16</f>
        <v>3</v>
      </c>
      <c r="M111" s="1" t="n">
        <f aca="false">J111/32</f>
        <v>1.5</v>
      </c>
      <c r="N111" s="1" t="s">
        <v>28</v>
      </c>
      <c r="O111" s="3" t="n">
        <v>0</v>
      </c>
      <c r="P111" s="1" t="n">
        <v>0</v>
      </c>
      <c r="Q111" s="1" t="n">
        <v>0</v>
      </c>
    </row>
    <row r="112" customFormat="false" ht="15" hidden="false" customHeight="false" outlineLevel="0" collapsed="false">
      <c r="B112" s="23" t="s">
        <v>244</v>
      </c>
      <c r="C112" s="23" t="s">
        <v>245</v>
      </c>
      <c r="D112" s="21" t="n">
        <v>32</v>
      </c>
      <c r="E112" s="27"/>
      <c r="F112" s="19"/>
      <c r="G112" s="18" t="n">
        <v>0</v>
      </c>
      <c r="I112" s="22" t="s">
        <v>246</v>
      </c>
      <c r="J112" s="1" t="n">
        <f aca="false">J111+D111</f>
        <v>64</v>
      </c>
      <c r="K112" s="1" t="n">
        <f aca="false">J112/8</f>
        <v>8</v>
      </c>
      <c r="L112" s="1" t="n">
        <f aca="false">J112/16</f>
        <v>4</v>
      </c>
      <c r="M112" s="1" t="n">
        <f aca="false">J112/32</f>
        <v>2</v>
      </c>
      <c r="N112" s="1" t="s">
        <v>28</v>
      </c>
      <c r="O112" s="3" t="n">
        <v>0</v>
      </c>
      <c r="P112" s="1" t="n">
        <v>0</v>
      </c>
      <c r="Q112" s="1" t="n">
        <v>0</v>
      </c>
    </row>
    <row r="113" customFormat="false" ht="15" hidden="false" customHeight="false" outlineLevel="0" collapsed="false">
      <c r="B113" s="23" t="s">
        <v>247</v>
      </c>
      <c r="C113" s="23" t="s">
        <v>248</v>
      </c>
      <c r="D113" s="21" t="n">
        <v>8</v>
      </c>
      <c r="E113" s="27" t="s">
        <v>225</v>
      </c>
      <c r="F113" s="19"/>
      <c r="G113" s="18" t="n">
        <v>0</v>
      </c>
      <c r="H113" s="18" t="s">
        <v>34</v>
      </c>
      <c r="I113" s="22" t="s">
        <v>249</v>
      </c>
      <c r="J113" s="1" t="n">
        <f aca="false">J112+D112</f>
        <v>96</v>
      </c>
      <c r="K113" s="1" t="n">
        <f aca="false">J113/8</f>
        <v>12</v>
      </c>
      <c r="L113" s="1" t="n">
        <f aca="false">J113/16</f>
        <v>6</v>
      </c>
      <c r="M113" s="1" t="n">
        <f aca="false">J113/32</f>
        <v>3</v>
      </c>
      <c r="N113" s="1" t="s">
        <v>28</v>
      </c>
      <c r="O113" s="3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3" t="s">
        <v>129</v>
      </c>
      <c r="C114" s="23" t="s">
        <v>250</v>
      </c>
      <c r="D114" s="21" t="n">
        <v>24</v>
      </c>
      <c r="E114" s="27" t="s">
        <v>65</v>
      </c>
      <c r="F114" s="19"/>
      <c r="G114" s="18" t="n">
        <v>0</v>
      </c>
      <c r="H114" s="18" t="s">
        <v>34</v>
      </c>
      <c r="I114" s="22"/>
      <c r="J114" s="1" t="n">
        <f aca="false">J113+D113</f>
        <v>104</v>
      </c>
      <c r="K114" s="1" t="n">
        <f aca="false">J114/8</f>
        <v>13</v>
      </c>
      <c r="L114" s="1" t="n">
        <f aca="false">J114/16</f>
        <v>6.5</v>
      </c>
      <c r="M114" s="1" t="n">
        <f aca="false">J114/32</f>
        <v>3.25</v>
      </c>
      <c r="N114" s="1" t="s">
        <v>28</v>
      </c>
      <c r="O114" s="3" t="n">
        <v>0</v>
      </c>
      <c r="P114" s="1" t="n">
        <v>0</v>
      </c>
      <c r="Q114" s="1" t="n">
        <v>0</v>
      </c>
    </row>
    <row r="115" customFormat="false" ht="15.75" hidden="false" customHeight="false" outlineLevel="0" collapsed="false">
      <c r="A115" s="1" t="s">
        <v>45</v>
      </c>
      <c r="B115" s="24"/>
      <c r="C115" s="25"/>
      <c r="D115" s="26"/>
      <c r="E115" s="26"/>
      <c r="F115" s="26"/>
      <c r="G115" s="26"/>
      <c r="H115" s="25"/>
      <c r="I115" s="26" t="s">
        <v>219</v>
      </c>
      <c r="J115" s="1" t="n">
        <f aca="false">J114+D114</f>
        <v>128</v>
      </c>
      <c r="K115" s="1" t="n">
        <f aca="false">J115/8</f>
        <v>16</v>
      </c>
      <c r="L115" s="1" t="n">
        <f aca="false">J115/16</f>
        <v>8</v>
      </c>
      <c r="M115" s="1" t="n">
        <f aca="false">J115/32</f>
        <v>4</v>
      </c>
    </row>
    <row r="116" customFormat="false" ht="15" hidden="false" customHeight="false" outlineLevel="0" collapsed="false">
      <c r="B116" s="20"/>
    </row>
    <row r="117" customFormat="false" ht="15" hidden="false" customHeight="false" outlineLevel="0" collapsed="false">
      <c r="B117" s="20"/>
    </row>
    <row r="118" customFormat="false" ht="15" hidden="false" customHeight="false" outlineLevel="0" collapsed="false">
      <c r="A118" s="1" t="s">
        <v>0</v>
      </c>
      <c r="B118" s="20"/>
    </row>
    <row r="119" customFormat="false" ht="15" hidden="false" customHeight="false" outlineLevel="0" collapsed="false">
      <c r="A119" s="1" t="s">
        <v>251</v>
      </c>
      <c r="B119" s="20"/>
    </row>
    <row r="120" customFormat="false" ht="15" hidden="false" customHeight="false" outlineLevel="0" collapsed="false">
      <c r="B120" s="23" t="s">
        <v>252</v>
      </c>
      <c r="C120" s="23" t="s">
        <v>253</v>
      </c>
      <c r="D120" s="21" t="n">
        <v>32</v>
      </c>
      <c r="E120" s="27" t="s">
        <v>25</v>
      </c>
      <c r="F120" s="19"/>
      <c r="G120" s="18" t="n">
        <v>0</v>
      </c>
      <c r="H120" s="28" t="s">
        <v>226</v>
      </c>
      <c r="I120" s="22" t="s">
        <v>254</v>
      </c>
      <c r="J120" s="22" t="n">
        <v>0</v>
      </c>
      <c r="K120" s="22" t="n">
        <f aca="false">J120/8</f>
        <v>0</v>
      </c>
      <c r="L120" s="22" t="n">
        <f aca="false">J120/16</f>
        <v>0</v>
      </c>
      <c r="M120" s="22" t="n">
        <f aca="false">J120/32</f>
        <v>0</v>
      </c>
      <c r="N120" s="1" t="s">
        <v>44</v>
      </c>
      <c r="O120" s="3" t="n">
        <v>1</v>
      </c>
      <c r="P120" s="1" t="n">
        <v>11</v>
      </c>
      <c r="Q120" s="1" t="n">
        <v>0</v>
      </c>
    </row>
    <row r="121" customFormat="false" ht="15" hidden="false" customHeight="false" outlineLevel="0" collapsed="false">
      <c r="B121" s="23" t="s">
        <v>255</v>
      </c>
      <c r="C121" s="23" t="s">
        <v>256</v>
      </c>
      <c r="D121" s="21" t="n">
        <v>16</v>
      </c>
      <c r="E121" s="27" t="s">
        <v>25</v>
      </c>
      <c r="F121" s="19"/>
      <c r="G121" s="18" t="n">
        <v>0</v>
      </c>
      <c r="H121" s="28" t="s">
        <v>34</v>
      </c>
      <c r="I121" s="22" t="s">
        <v>254</v>
      </c>
      <c r="J121" s="1" t="n">
        <f aca="false">J120+D120</f>
        <v>32</v>
      </c>
      <c r="K121" s="1" t="n">
        <f aca="false">J121/8</f>
        <v>4</v>
      </c>
      <c r="L121" s="1" t="n">
        <f aca="false">J121/16</f>
        <v>2</v>
      </c>
      <c r="M121" s="1" t="n">
        <f aca="false">J121/32</f>
        <v>1</v>
      </c>
      <c r="N121" s="1" t="s">
        <v>44</v>
      </c>
      <c r="O121" s="3" t="n">
        <v>1</v>
      </c>
      <c r="P121" s="1" t="n">
        <v>12</v>
      </c>
      <c r="Q121" s="1" t="n">
        <v>0</v>
      </c>
    </row>
    <row r="122" customFormat="false" ht="15" hidden="false" customHeight="false" outlineLevel="0" collapsed="false">
      <c r="B122" s="23" t="s">
        <v>257</v>
      </c>
      <c r="C122" s="23" t="s">
        <v>258</v>
      </c>
      <c r="D122" s="21" t="n">
        <v>8</v>
      </c>
      <c r="E122" s="27" t="s">
        <v>25</v>
      </c>
      <c r="F122" s="19"/>
      <c r="G122" s="18" t="n">
        <v>0</v>
      </c>
      <c r="H122" s="18" t="s">
        <v>34</v>
      </c>
      <c r="I122" s="22" t="s">
        <v>259</v>
      </c>
      <c r="J122" s="1" t="n">
        <f aca="false">J121+D121</f>
        <v>48</v>
      </c>
      <c r="K122" s="1" t="n">
        <f aca="false">J122/8</f>
        <v>6</v>
      </c>
      <c r="L122" s="1" t="n">
        <f aca="false">J122/16</f>
        <v>3</v>
      </c>
      <c r="M122" s="1" t="n">
        <f aca="false">J122/32</f>
        <v>1.5</v>
      </c>
      <c r="N122" s="1" t="s">
        <v>44</v>
      </c>
      <c r="O122" s="3" t="n">
        <v>1</v>
      </c>
      <c r="P122" s="1" t="n">
        <v>13</v>
      </c>
      <c r="Q122" s="1" t="n">
        <v>0</v>
      </c>
    </row>
    <row r="123" customFormat="false" ht="15" hidden="false" customHeight="false" outlineLevel="0" collapsed="false">
      <c r="B123" s="23" t="s">
        <v>129</v>
      </c>
      <c r="C123" s="23" t="s">
        <v>260</v>
      </c>
      <c r="D123" s="21" t="n">
        <v>8</v>
      </c>
      <c r="E123" s="27" t="s">
        <v>65</v>
      </c>
      <c r="F123" s="19"/>
      <c r="G123" s="18" t="n">
        <v>0</v>
      </c>
      <c r="H123" s="18" t="s">
        <v>34</v>
      </c>
      <c r="I123" s="22" t="s">
        <v>165</v>
      </c>
      <c r="J123" s="1" t="n">
        <f aca="false">J122+D122</f>
        <v>56</v>
      </c>
      <c r="K123" s="1" t="n">
        <f aca="false">J123/8</f>
        <v>7</v>
      </c>
      <c r="L123" s="1" t="n">
        <f aca="false">J123/16</f>
        <v>3.5</v>
      </c>
      <c r="M123" s="1" t="n">
        <f aca="false">J123/32</f>
        <v>1.75</v>
      </c>
      <c r="N123" s="1" t="s">
        <v>28</v>
      </c>
      <c r="O123" s="3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A124" s="1" t="s">
        <v>45</v>
      </c>
      <c r="B124" s="23"/>
      <c r="I124" s="1" t="s">
        <v>132</v>
      </c>
      <c r="J124" s="1" t="n">
        <f aca="false">J123+D123</f>
        <v>64</v>
      </c>
      <c r="K124" s="1" t="n">
        <f aca="false">J124/8</f>
        <v>8</v>
      </c>
      <c r="L124" s="1" t="n">
        <f aca="false">J124/16</f>
        <v>4</v>
      </c>
      <c r="M124" s="1" t="n">
        <f aca="false">J124/32</f>
        <v>2</v>
      </c>
    </row>
    <row r="126" customFormat="false" ht="15.75" hidden="false" customHeight="false" outlineLevel="0" collapsed="false">
      <c r="A126" s="29" t="s">
        <v>261</v>
      </c>
      <c r="J126" s="30"/>
      <c r="K126" s="22"/>
      <c r="L126" s="22"/>
      <c r="M126" s="22"/>
      <c r="N126" s="13" t="s">
        <v>20</v>
      </c>
    </row>
    <row r="127" s="13" customFormat="true" ht="15.75" hidden="false" customHeight="false" outlineLevel="0" collapsed="false">
      <c r="A127" s="13" t="s">
        <v>0</v>
      </c>
      <c r="B127" s="14" t="s">
        <v>8</v>
      </c>
      <c r="C127" s="11" t="s">
        <v>9</v>
      </c>
      <c r="D127" s="11" t="s">
        <v>10</v>
      </c>
      <c r="E127" s="11" t="s">
        <v>11</v>
      </c>
      <c r="F127" s="11" t="s">
        <v>12</v>
      </c>
      <c r="G127" s="11" t="s">
        <v>13</v>
      </c>
      <c r="H127" s="11" t="s">
        <v>14</v>
      </c>
      <c r="I127" s="12" t="s">
        <v>15</v>
      </c>
      <c r="J127" s="13" t="s">
        <v>16</v>
      </c>
      <c r="K127" s="13" t="s">
        <v>17</v>
      </c>
      <c r="L127" s="13" t="s">
        <v>18</v>
      </c>
      <c r="M127" s="13" t="s">
        <v>19</v>
      </c>
      <c r="N127" s="1"/>
      <c r="O127" s="17" t="s">
        <v>21</v>
      </c>
      <c r="P127" s="13" t="s">
        <v>22</v>
      </c>
      <c r="Q127" s="13" t="s">
        <v>23</v>
      </c>
    </row>
    <row r="128" s="31" customFormat="true" ht="15.75" hidden="false" customHeight="false" outlineLevel="0" collapsed="false">
      <c r="B128" s="18" t="s">
        <v>262</v>
      </c>
      <c r="C128" s="32" t="s">
        <v>263</v>
      </c>
      <c r="D128" s="1" t="n">
        <v>9</v>
      </c>
      <c r="E128" s="27" t="s">
        <v>25</v>
      </c>
      <c r="F128" s="33"/>
      <c r="G128" s="27" t="n">
        <v>2</v>
      </c>
      <c r="H128" s="27" t="s">
        <v>34</v>
      </c>
      <c r="I128" s="27" t="s">
        <v>264</v>
      </c>
      <c r="J128" s="22" t="n">
        <v>0</v>
      </c>
      <c r="K128" s="22" t="n">
        <f aca="false">J128/8</f>
        <v>0</v>
      </c>
      <c r="L128" s="22" t="n">
        <f aca="false">J128/16</f>
        <v>0</v>
      </c>
      <c r="M128" s="22" t="n">
        <f aca="false">J128/32</f>
        <v>0</v>
      </c>
      <c r="N128" s="1" t="s">
        <v>109</v>
      </c>
      <c r="O128" s="3" t="n">
        <v>2</v>
      </c>
      <c r="P128" s="1" t="n">
        <v>1</v>
      </c>
      <c r="Q128" s="1" t="n">
        <v>0</v>
      </c>
    </row>
    <row r="129" s="31" customFormat="true" ht="15.75" hidden="false" customHeight="false" outlineLevel="0" collapsed="false">
      <c r="B129" s="18" t="s">
        <v>265</v>
      </c>
      <c r="C129" s="32" t="s">
        <v>266</v>
      </c>
      <c r="D129" s="1" t="n">
        <v>5</v>
      </c>
      <c r="E129" s="27" t="s">
        <v>25</v>
      </c>
      <c r="F129" s="33"/>
      <c r="G129" s="27" t="n">
        <v>2</v>
      </c>
      <c r="H129" s="27" t="s">
        <v>34</v>
      </c>
      <c r="I129" s="27" t="s">
        <v>264</v>
      </c>
      <c r="J129" s="1" t="n">
        <f aca="false">J128+D128</f>
        <v>9</v>
      </c>
      <c r="K129" s="1" t="n">
        <f aca="false">J129/8</f>
        <v>1.125</v>
      </c>
      <c r="L129" s="1" t="n">
        <f aca="false">J129/16</f>
        <v>0.5625</v>
      </c>
      <c r="M129" s="1" t="n">
        <f aca="false">J129/32</f>
        <v>0.28125</v>
      </c>
      <c r="N129" s="1" t="s">
        <v>109</v>
      </c>
      <c r="O129" s="3" t="n">
        <v>2</v>
      </c>
      <c r="P129" s="1" t="n">
        <v>2</v>
      </c>
      <c r="Q129" s="1" t="n">
        <v>0</v>
      </c>
    </row>
    <row r="130" s="31" customFormat="true" ht="15.75" hidden="false" customHeight="false" outlineLevel="0" collapsed="false">
      <c r="B130" s="18" t="s">
        <v>267</v>
      </c>
      <c r="C130" s="32" t="s">
        <v>268</v>
      </c>
      <c r="D130" s="1" t="n">
        <v>4</v>
      </c>
      <c r="E130" s="27" t="s">
        <v>25</v>
      </c>
      <c r="F130" s="33"/>
      <c r="G130" s="27" t="n">
        <v>2</v>
      </c>
      <c r="H130" s="27" t="s">
        <v>34</v>
      </c>
      <c r="I130" s="27" t="s">
        <v>269</v>
      </c>
      <c r="J130" s="1" t="n">
        <f aca="false">J129+D129</f>
        <v>14</v>
      </c>
      <c r="K130" s="1" t="n">
        <f aca="false">J130/8</f>
        <v>1.75</v>
      </c>
      <c r="L130" s="1" t="n">
        <f aca="false">J130/16</f>
        <v>0.875</v>
      </c>
      <c r="M130" s="1" t="n">
        <f aca="false">J130/32</f>
        <v>0.4375</v>
      </c>
      <c r="N130" s="1" t="s">
        <v>109</v>
      </c>
      <c r="O130" s="3" t="n">
        <v>2</v>
      </c>
      <c r="P130" s="1" t="n">
        <v>3</v>
      </c>
      <c r="Q130" s="1" t="n">
        <v>0</v>
      </c>
    </row>
    <row r="131" s="31" customFormat="true" ht="15.75" hidden="false" customHeight="false" outlineLevel="0" collapsed="false">
      <c r="B131" s="18" t="s">
        <v>270</v>
      </c>
      <c r="C131" s="32" t="s">
        <v>271</v>
      </c>
      <c r="D131" s="1" t="n">
        <v>4</v>
      </c>
      <c r="E131" s="27" t="s">
        <v>25</v>
      </c>
      <c r="F131" s="33"/>
      <c r="G131" s="27" t="n">
        <v>2</v>
      </c>
      <c r="H131" s="27" t="s">
        <v>34</v>
      </c>
      <c r="I131" s="27" t="s">
        <v>272</v>
      </c>
      <c r="J131" s="1" t="n">
        <f aca="false">J130+D130</f>
        <v>18</v>
      </c>
      <c r="K131" s="1" t="n">
        <f aca="false">J131/8</f>
        <v>2.25</v>
      </c>
      <c r="L131" s="1" t="n">
        <f aca="false">J131/16</f>
        <v>1.125</v>
      </c>
      <c r="M131" s="1" t="n">
        <f aca="false">J131/32</f>
        <v>0.5625</v>
      </c>
      <c r="N131" s="1" t="s">
        <v>109</v>
      </c>
      <c r="O131" s="3" t="n">
        <v>2</v>
      </c>
      <c r="P131" s="1" t="n">
        <v>4</v>
      </c>
      <c r="Q131" s="1" t="n">
        <v>0</v>
      </c>
    </row>
    <row r="132" s="31" customFormat="true" ht="15.75" hidden="false" customHeight="false" outlineLevel="0" collapsed="false">
      <c r="B132" s="18" t="s">
        <v>273</v>
      </c>
      <c r="C132" s="32" t="s">
        <v>274</v>
      </c>
      <c r="D132" s="1" t="n">
        <v>3</v>
      </c>
      <c r="E132" s="27" t="s">
        <v>25</v>
      </c>
      <c r="F132" s="33"/>
      <c r="G132" s="18" t="n">
        <v>2</v>
      </c>
      <c r="H132" s="27" t="s">
        <v>34</v>
      </c>
      <c r="I132" s="18" t="s">
        <v>275</v>
      </c>
      <c r="J132" s="1" t="n">
        <f aca="false">J131+D131</f>
        <v>22</v>
      </c>
      <c r="K132" s="1" t="n">
        <f aca="false">J132/8</f>
        <v>2.75</v>
      </c>
      <c r="L132" s="1" t="n">
        <f aca="false">J132/16</f>
        <v>1.375</v>
      </c>
      <c r="M132" s="1" t="n">
        <f aca="false">J132/32</f>
        <v>0.6875</v>
      </c>
      <c r="N132" s="1" t="s">
        <v>109</v>
      </c>
      <c r="O132" s="3" t="n">
        <v>2</v>
      </c>
      <c r="P132" s="1" t="n">
        <v>5</v>
      </c>
      <c r="Q132" s="1" t="n">
        <v>0</v>
      </c>
    </row>
    <row r="133" s="31" customFormat="true" ht="15.75" hidden="false" customHeight="false" outlineLevel="0" collapsed="false">
      <c r="B133" s="18" t="s">
        <v>276</v>
      </c>
      <c r="C133" s="32" t="s">
        <v>277</v>
      </c>
      <c r="D133" s="1" t="n">
        <v>1</v>
      </c>
      <c r="E133" s="27" t="s">
        <v>25</v>
      </c>
      <c r="F133" s="33"/>
      <c r="G133" s="18" t="n">
        <v>2</v>
      </c>
      <c r="H133" s="27" t="s">
        <v>34</v>
      </c>
      <c r="I133" s="18" t="s">
        <v>278</v>
      </c>
      <c r="J133" s="1" t="n">
        <f aca="false">J132+D132</f>
        <v>25</v>
      </c>
      <c r="K133" s="1" t="n">
        <f aca="false">J133/8</f>
        <v>3.125</v>
      </c>
      <c r="L133" s="1" t="n">
        <f aca="false">J133/16</f>
        <v>1.5625</v>
      </c>
      <c r="M133" s="1" t="n">
        <f aca="false">J133/32</f>
        <v>0.78125</v>
      </c>
      <c r="N133" s="1" t="s">
        <v>109</v>
      </c>
      <c r="O133" s="3" t="n">
        <v>2</v>
      </c>
      <c r="P133" s="1" t="n">
        <v>6</v>
      </c>
      <c r="Q133" s="1" t="n">
        <v>0</v>
      </c>
    </row>
    <row r="134" s="31" customFormat="true" ht="15.75" hidden="false" customHeight="false" outlineLevel="0" collapsed="false">
      <c r="B134" s="18" t="s">
        <v>279</v>
      </c>
      <c r="C134" s="32" t="s">
        <v>280</v>
      </c>
      <c r="D134" s="1" t="n">
        <v>1</v>
      </c>
      <c r="E134" s="27" t="s">
        <v>25</v>
      </c>
      <c r="F134" s="33"/>
      <c r="G134" s="18" t="n">
        <v>1</v>
      </c>
      <c r="H134" s="27" t="s">
        <v>34</v>
      </c>
      <c r="I134" s="27" t="s">
        <v>264</v>
      </c>
      <c r="J134" s="1" t="n">
        <f aca="false">J133+D133</f>
        <v>26</v>
      </c>
      <c r="K134" s="1" t="n">
        <f aca="false">J134/8</f>
        <v>3.25</v>
      </c>
      <c r="L134" s="1" t="n">
        <f aca="false">J134/16</f>
        <v>1.625</v>
      </c>
      <c r="M134" s="1" t="n">
        <f aca="false">J134/32</f>
        <v>0.8125</v>
      </c>
      <c r="N134" s="1" t="s">
        <v>109</v>
      </c>
      <c r="O134" s="3" t="n">
        <v>2</v>
      </c>
      <c r="P134" s="1" t="n">
        <v>7</v>
      </c>
      <c r="Q134" s="1" t="n">
        <v>0</v>
      </c>
    </row>
    <row r="135" s="31" customFormat="true" ht="15.75" hidden="false" customHeight="false" outlineLevel="0" collapsed="false">
      <c r="B135" s="18" t="s">
        <v>281</v>
      </c>
      <c r="C135" s="32" t="s">
        <v>282</v>
      </c>
      <c r="D135" s="1" t="n">
        <v>5</v>
      </c>
      <c r="E135" s="27" t="s">
        <v>25</v>
      </c>
      <c r="F135" s="33"/>
      <c r="G135" s="18" t="n">
        <v>0</v>
      </c>
      <c r="H135" s="27" t="s">
        <v>34</v>
      </c>
      <c r="I135" s="27" t="s">
        <v>264</v>
      </c>
      <c r="J135" s="1" t="n">
        <f aca="false">J134+D134</f>
        <v>27</v>
      </c>
      <c r="K135" s="1" t="n">
        <f aca="false">J135/8</f>
        <v>3.375</v>
      </c>
      <c r="L135" s="1" t="n">
        <f aca="false">J135/16</f>
        <v>1.6875</v>
      </c>
      <c r="M135" s="1" t="n">
        <f aca="false">J135/32</f>
        <v>0.84375</v>
      </c>
      <c r="N135" s="1" t="s">
        <v>28</v>
      </c>
      <c r="O135" s="3" t="n">
        <v>0</v>
      </c>
      <c r="P135" s="1" t="n">
        <v>0</v>
      </c>
      <c r="Q135" s="1" t="n">
        <v>0</v>
      </c>
    </row>
    <row r="136" s="31" customFormat="true" ht="15.75" hidden="false" customHeight="false" outlineLevel="0" collapsed="false">
      <c r="B136" s="18" t="s">
        <v>283</v>
      </c>
      <c r="C136" s="32" t="s">
        <v>284</v>
      </c>
      <c r="D136" s="1" t="n">
        <v>32</v>
      </c>
      <c r="E136" s="27" t="s">
        <v>25</v>
      </c>
      <c r="F136" s="33"/>
      <c r="G136" s="18" t="n">
        <v>2</v>
      </c>
      <c r="H136" s="27" t="s">
        <v>34</v>
      </c>
      <c r="I136" s="27" t="s">
        <v>264</v>
      </c>
      <c r="J136" s="1" t="n">
        <f aca="false">J135+D135</f>
        <v>32</v>
      </c>
      <c r="K136" s="1" t="n">
        <f aca="false">J136/8</f>
        <v>4</v>
      </c>
      <c r="L136" s="1" t="n">
        <f aca="false">J136/16</f>
        <v>2</v>
      </c>
      <c r="M136" s="1" t="n">
        <f aca="false">J136/32</f>
        <v>1</v>
      </c>
      <c r="N136" s="1" t="s">
        <v>109</v>
      </c>
      <c r="O136" s="3" t="n">
        <v>2</v>
      </c>
      <c r="P136" s="1" t="n">
        <v>8</v>
      </c>
      <c r="Q136" s="1" t="n">
        <v>0</v>
      </c>
    </row>
    <row r="137" customFormat="false" ht="15" hidden="false" customHeight="false" outlineLevel="0" collapsed="false">
      <c r="B137" s="18" t="s">
        <v>285</v>
      </c>
      <c r="C137" s="18" t="s">
        <v>286</v>
      </c>
      <c r="D137" s="1" t="n">
        <v>32</v>
      </c>
      <c r="E137" s="27" t="s">
        <v>225</v>
      </c>
      <c r="F137" s="27"/>
      <c r="G137" s="18" t="n">
        <v>0</v>
      </c>
      <c r="H137" s="27" t="s">
        <v>34</v>
      </c>
      <c r="I137" s="27" t="s">
        <v>264</v>
      </c>
      <c r="J137" s="1" t="n">
        <f aca="false">J136+D136</f>
        <v>64</v>
      </c>
      <c r="K137" s="1" t="n">
        <f aca="false">J137/8</f>
        <v>8</v>
      </c>
      <c r="L137" s="1" t="n">
        <f aca="false">J137/16</f>
        <v>4</v>
      </c>
      <c r="M137" s="1" t="n">
        <f aca="false">J137/32</f>
        <v>2</v>
      </c>
      <c r="N137" s="1" t="s">
        <v>287</v>
      </c>
      <c r="O137" s="3" t="n">
        <v>3</v>
      </c>
      <c r="P137" s="1" t="n">
        <v>1</v>
      </c>
      <c r="Q137" s="1" t="n">
        <v>0</v>
      </c>
    </row>
    <row r="138" customFormat="false" ht="15" hidden="false" customHeight="false" outlineLevel="0" collapsed="false">
      <c r="B138" s="18" t="s">
        <v>288</v>
      </c>
      <c r="C138" s="18" t="s">
        <v>289</v>
      </c>
      <c r="D138" s="1" t="n">
        <v>32</v>
      </c>
      <c r="E138" s="27" t="s">
        <v>25</v>
      </c>
      <c r="F138" s="27"/>
      <c r="G138" s="18" t="n">
        <v>0</v>
      </c>
      <c r="H138" s="27" t="s">
        <v>34</v>
      </c>
      <c r="I138" s="27" t="s">
        <v>264</v>
      </c>
      <c r="J138" s="1" t="n">
        <f aca="false">J137+D137</f>
        <v>96</v>
      </c>
      <c r="K138" s="1" t="n">
        <f aca="false">J138/8</f>
        <v>12</v>
      </c>
      <c r="L138" s="1" t="n">
        <f aca="false">J138/16</f>
        <v>6</v>
      </c>
      <c r="M138" s="1" t="n">
        <f aca="false">J138/32</f>
        <v>3</v>
      </c>
      <c r="N138" s="1" t="s">
        <v>287</v>
      </c>
      <c r="O138" s="3" t="n">
        <v>3</v>
      </c>
      <c r="P138" s="1" t="n">
        <v>2</v>
      </c>
      <c r="Q138" s="1" t="n">
        <v>0</v>
      </c>
    </row>
    <row r="139" customFormat="false" ht="15" hidden="false" customHeight="false" outlineLevel="0" collapsed="false">
      <c r="B139" s="18" t="s">
        <v>290</v>
      </c>
      <c r="C139" s="18" t="s">
        <v>291</v>
      </c>
      <c r="D139" s="1" t="n">
        <v>32</v>
      </c>
      <c r="E139" s="27" t="s">
        <v>225</v>
      </c>
      <c r="F139" s="27"/>
      <c r="G139" s="18" t="n">
        <v>0</v>
      </c>
      <c r="H139" s="27" t="s">
        <v>34</v>
      </c>
      <c r="I139" s="27" t="s">
        <v>264</v>
      </c>
      <c r="J139" s="1" t="n">
        <f aca="false">J138+D138</f>
        <v>128</v>
      </c>
      <c r="K139" s="1" t="n">
        <f aca="false">J139/8</f>
        <v>16</v>
      </c>
      <c r="L139" s="1" t="n">
        <f aca="false">J139/16</f>
        <v>8</v>
      </c>
      <c r="M139" s="1" t="n">
        <f aca="false">J139/32</f>
        <v>4</v>
      </c>
      <c r="N139" s="1" t="s">
        <v>287</v>
      </c>
      <c r="O139" s="3" t="n">
        <v>3</v>
      </c>
      <c r="P139" s="1" t="n">
        <v>3</v>
      </c>
      <c r="Q139" s="1" t="n">
        <v>0</v>
      </c>
    </row>
    <row r="140" customFormat="false" ht="15" hidden="false" customHeight="false" outlineLevel="0" collapsed="false">
      <c r="B140" s="18" t="s">
        <v>292</v>
      </c>
      <c r="C140" s="18" t="s">
        <v>293</v>
      </c>
      <c r="D140" s="1" t="n">
        <v>32</v>
      </c>
      <c r="E140" s="27" t="s">
        <v>25</v>
      </c>
      <c r="F140" s="27"/>
      <c r="G140" s="18" t="n">
        <v>0</v>
      </c>
      <c r="H140" s="27" t="s">
        <v>34</v>
      </c>
      <c r="I140" s="27" t="s">
        <v>264</v>
      </c>
      <c r="J140" s="1" t="n">
        <f aca="false">J139+D139</f>
        <v>160</v>
      </c>
      <c r="K140" s="1" t="n">
        <f aca="false">J140/8</f>
        <v>20</v>
      </c>
      <c r="L140" s="1" t="n">
        <f aca="false">J140/16</f>
        <v>10</v>
      </c>
      <c r="M140" s="1" t="n">
        <f aca="false">J140/32</f>
        <v>5</v>
      </c>
      <c r="N140" s="1" t="s">
        <v>287</v>
      </c>
      <c r="O140" s="3" t="n">
        <v>3</v>
      </c>
      <c r="P140" s="1" t="n">
        <v>4</v>
      </c>
      <c r="Q140" s="1" t="n">
        <v>0</v>
      </c>
    </row>
    <row r="141" customFormat="false" ht="15" hidden="false" customHeight="false" outlineLevel="0" collapsed="false">
      <c r="B141" s="18" t="s">
        <v>294</v>
      </c>
      <c r="C141" s="18" t="s">
        <v>295</v>
      </c>
      <c r="D141" s="1" t="n">
        <v>8</v>
      </c>
      <c r="E141" s="27" t="s">
        <v>25</v>
      </c>
      <c r="F141" s="27"/>
      <c r="G141" s="18" t="n">
        <v>0</v>
      </c>
      <c r="H141" s="27" t="s">
        <v>34</v>
      </c>
      <c r="I141" s="27" t="s">
        <v>296</v>
      </c>
      <c r="J141" s="1" t="n">
        <f aca="false">J140+D140</f>
        <v>192</v>
      </c>
      <c r="K141" s="1" t="n">
        <f aca="false">J141/8</f>
        <v>24</v>
      </c>
      <c r="L141" s="1" t="n">
        <f aca="false">J141/16</f>
        <v>12</v>
      </c>
      <c r="M141" s="1" t="n">
        <f aca="false">J141/32</f>
        <v>6</v>
      </c>
      <c r="N141" s="1" t="s">
        <v>297</v>
      </c>
      <c r="O141" s="3" t="n">
        <v>5</v>
      </c>
      <c r="P141" s="1" t="n">
        <v>1</v>
      </c>
      <c r="Q141" s="1" t="n">
        <v>0</v>
      </c>
    </row>
    <row r="142" customFormat="false" ht="15" hidden="false" customHeight="false" outlineLevel="0" collapsed="false">
      <c r="B142" s="18" t="s">
        <v>298</v>
      </c>
      <c r="C142" s="18" t="s">
        <v>299</v>
      </c>
      <c r="D142" s="1" t="n">
        <v>8</v>
      </c>
      <c r="E142" s="27" t="s">
        <v>25</v>
      </c>
      <c r="F142" s="27"/>
      <c r="G142" s="18" t="n">
        <v>0</v>
      </c>
      <c r="H142" s="27" t="s">
        <v>34</v>
      </c>
      <c r="I142" s="27" t="s">
        <v>300</v>
      </c>
      <c r="J142" s="1" t="n">
        <f aca="false">J141+D141</f>
        <v>200</v>
      </c>
      <c r="K142" s="1" t="n">
        <f aca="false">J142/8</f>
        <v>25</v>
      </c>
      <c r="L142" s="1" t="n">
        <f aca="false">J142/16</f>
        <v>12.5</v>
      </c>
      <c r="M142" s="1" t="n">
        <f aca="false">J142/32</f>
        <v>6.25</v>
      </c>
      <c r="N142" s="1" t="s">
        <v>297</v>
      </c>
      <c r="O142" s="3" t="n">
        <v>5</v>
      </c>
      <c r="P142" s="1" t="n">
        <v>2</v>
      </c>
      <c r="Q142" s="1" t="n">
        <v>0</v>
      </c>
    </row>
    <row r="143" customFormat="false" ht="15" hidden="false" customHeight="false" outlineLevel="0" collapsed="false">
      <c r="B143" s="18" t="s">
        <v>301</v>
      </c>
      <c r="C143" s="18" t="s">
        <v>302</v>
      </c>
      <c r="D143" s="1" t="n">
        <v>8</v>
      </c>
      <c r="E143" s="27" t="s">
        <v>25</v>
      </c>
      <c r="F143" s="27"/>
      <c r="G143" s="18" t="n">
        <v>0</v>
      </c>
      <c r="H143" s="27" t="s">
        <v>34</v>
      </c>
      <c r="I143" s="27" t="s">
        <v>303</v>
      </c>
      <c r="J143" s="1" t="n">
        <f aca="false">J142+D142</f>
        <v>208</v>
      </c>
      <c r="K143" s="1" t="n">
        <f aca="false">J143/8</f>
        <v>26</v>
      </c>
      <c r="L143" s="1" t="n">
        <f aca="false">J143/16</f>
        <v>13</v>
      </c>
      <c r="M143" s="1" t="n">
        <f aca="false">J143/32</f>
        <v>6.5</v>
      </c>
      <c r="N143" s="1" t="s">
        <v>297</v>
      </c>
      <c r="O143" s="3" t="n">
        <v>5</v>
      </c>
      <c r="P143" s="1" t="n">
        <v>3</v>
      </c>
      <c r="Q143" s="1" t="n">
        <v>0</v>
      </c>
    </row>
    <row r="144" customFormat="false" ht="15" hidden="false" customHeight="false" outlineLevel="0" collapsed="false">
      <c r="B144" s="18" t="s">
        <v>304</v>
      </c>
      <c r="C144" s="18" t="s">
        <v>305</v>
      </c>
      <c r="D144" s="1" t="n">
        <v>8</v>
      </c>
      <c r="E144" s="27" t="s">
        <v>25</v>
      </c>
      <c r="F144" s="27"/>
      <c r="G144" s="18" t="n">
        <v>0</v>
      </c>
      <c r="H144" s="27" t="s">
        <v>34</v>
      </c>
      <c r="I144" s="27" t="s">
        <v>306</v>
      </c>
      <c r="J144" s="1" t="n">
        <f aca="false">J143+D143</f>
        <v>216</v>
      </c>
      <c r="K144" s="1" t="n">
        <f aca="false">J144/8</f>
        <v>27</v>
      </c>
      <c r="L144" s="1" t="n">
        <f aca="false">J144/16</f>
        <v>13.5</v>
      </c>
      <c r="M144" s="1" t="n">
        <f aca="false">J144/32</f>
        <v>6.75</v>
      </c>
      <c r="N144" s="1" t="s">
        <v>297</v>
      </c>
      <c r="O144" s="3" t="n">
        <v>5</v>
      </c>
      <c r="P144" s="1" t="n">
        <v>4</v>
      </c>
      <c r="Q144" s="1" t="n">
        <v>0</v>
      </c>
    </row>
    <row r="145" customFormat="false" ht="15" hidden="false" customHeight="false" outlineLevel="0" collapsed="false">
      <c r="B145" s="18" t="s">
        <v>307</v>
      </c>
      <c r="C145" s="18" t="s">
        <v>308</v>
      </c>
      <c r="D145" s="1" t="n">
        <v>8</v>
      </c>
      <c r="E145" s="27" t="s">
        <v>25</v>
      </c>
      <c r="F145" s="27"/>
      <c r="G145" s="18" t="n">
        <v>0</v>
      </c>
      <c r="H145" s="27" t="s">
        <v>34</v>
      </c>
      <c r="I145" s="27" t="s">
        <v>309</v>
      </c>
      <c r="J145" s="1" t="n">
        <f aca="false">J144+D144</f>
        <v>224</v>
      </c>
      <c r="K145" s="1" t="n">
        <f aca="false">J145/8</f>
        <v>28</v>
      </c>
      <c r="L145" s="1" t="n">
        <f aca="false">J145/16</f>
        <v>14</v>
      </c>
      <c r="M145" s="1" t="n">
        <f aca="false">J145/32</f>
        <v>7</v>
      </c>
      <c r="N145" s="1" t="s">
        <v>297</v>
      </c>
      <c r="O145" s="3" t="n">
        <v>5</v>
      </c>
      <c r="P145" s="1" t="n">
        <v>5</v>
      </c>
      <c r="Q145" s="1" t="n">
        <v>0</v>
      </c>
    </row>
    <row r="146" customFormat="false" ht="15" hidden="false" customHeight="false" outlineLevel="0" collapsed="false">
      <c r="B146" s="18" t="s">
        <v>310</v>
      </c>
      <c r="C146" s="18" t="s">
        <v>311</v>
      </c>
      <c r="D146" s="1" t="n">
        <v>8</v>
      </c>
      <c r="E146" s="27" t="s">
        <v>25</v>
      </c>
      <c r="F146" s="27"/>
      <c r="G146" s="18" t="n">
        <v>0</v>
      </c>
      <c r="H146" s="27" t="s">
        <v>34</v>
      </c>
      <c r="I146" s="18" t="s">
        <v>310</v>
      </c>
      <c r="J146" s="1" t="n">
        <f aca="false">J145+D145</f>
        <v>232</v>
      </c>
      <c r="K146" s="1" t="n">
        <f aca="false">J146/8</f>
        <v>29</v>
      </c>
      <c r="L146" s="1" t="n">
        <f aca="false">J146/16</f>
        <v>14.5</v>
      </c>
      <c r="M146" s="1" t="n">
        <f aca="false">J146/32</f>
        <v>7.25</v>
      </c>
      <c r="N146" s="1" t="s">
        <v>312</v>
      </c>
      <c r="O146" s="3" t="n">
        <v>4</v>
      </c>
      <c r="P146" s="1" t="n">
        <v>1</v>
      </c>
      <c r="Q146" s="1" t="n">
        <v>0</v>
      </c>
    </row>
    <row r="147" customFormat="false" ht="15" hidden="false" customHeight="false" outlineLevel="0" collapsed="false">
      <c r="B147" s="18" t="s">
        <v>313</v>
      </c>
      <c r="C147" s="18" t="s">
        <v>314</v>
      </c>
      <c r="D147" s="1" t="n">
        <v>8</v>
      </c>
      <c r="E147" s="27" t="s">
        <v>25</v>
      </c>
      <c r="F147" s="27"/>
      <c r="G147" s="18" t="n">
        <v>0</v>
      </c>
      <c r="H147" s="27" t="s">
        <v>34</v>
      </c>
      <c r="I147" s="18" t="s">
        <v>313</v>
      </c>
      <c r="J147" s="1" t="n">
        <f aca="false">J146+D146</f>
        <v>240</v>
      </c>
      <c r="K147" s="1" t="n">
        <f aca="false">J147/8</f>
        <v>30</v>
      </c>
      <c r="L147" s="1" t="n">
        <f aca="false">J147/16</f>
        <v>15</v>
      </c>
      <c r="M147" s="1" t="n">
        <f aca="false">J147/32</f>
        <v>7.5</v>
      </c>
      <c r="N147" s="1" t="s">
        <v>312</v>
      </c>
      <c r="O147" s="3" t="n">
        <v>4</v>
      </c>
      <c r="P147" s="1" t="n">
        <v>2</v>
      </c>
      <c r="Q147" s="1" t="n">
        <v>0</v>
      </c>
    </row>
    <row r="148" customFormat="false" ht="15" hidden="false" customHeight="false" outlineLevel="0" collapsed="false">
      <c r="B148" s="18" t="s">
        <v>315</v>
      </c>
      <c r="C148" s="18" t="s">
        <v>316</v>
      </c>
      <c r="D148" s="1" t="n">
        <v>8</v>
      </c>
      <c r="E148" s="27" t="s">
        <v>25</v>
      </c>
      <c r="F148" s="27"/>
      <c r="G148" s="18" t="n">
        <v>0</v>
      </c>
      <c r="H148" s="27" t="s">
        <v>34</v>
      </c>
      <c r="I148" s="18" t="s">
        <v>315</v>
      </c>
      <c r="J148" s="1" t="n">
        <f aca="false">J147+D147</f>
        <v>248</v>
      </c>
      <c r="K148" s="1" t="n">
        <f aca="false">J148/8</f>
        <v>31</v>
      </c>
      <c r="L148" s="1" t="n">
        <f aca="false">J148/16</f>
        <v>15.5</v>
      </c>
      <c r="M148" s="1" t="n">
        <f aca="false">J148/32</f>
        <v>7.75</v>
      </c>
      <c r="N148" s="1" t="s">
        <v>312</v>
      </c>
      <c r="O148" s="3" t="n">
        <v>4</v>
      </c>
      <c r="P148" s="1" t="n">
        <v>3</v>
      </c>
      <c r="Q148" s="1" t="n">
        <v>0</v>
      </c>
    </row>
    <row r="149" customFormat="false" ht="15" hidden="false" customHeight="false" outlineLevel="0" collapsed="false">
      <c r="B149" s="18" t="s">
        <v>317</v>
      </c>
      <c r="C149" s="18" t="s">
        <v>318</v>
      </c>
      <c r="D149" s="1" t="n">
        <v>8</v>
      </c>
      <c r="E149" s="27" t="s">
        <v>25</v>
      </c>
      <c r="F149" s="27"/>
      <c r="G149" s="18" t="n">
        <v>0</v>
      </c>
      <c r="H149" s="27" t="s">
        <v>34</v>
      </c>
      <c r="I149" s="18" t="s">
        <v>317</v>
      </c>
      <c r="J149" s="1" t="n">
        <f aca="false">J148+D148</f>
        <v>256</v>
      </c>
      <c r="K149" s="1" t="n">
        <f aca="false">J149/8</f>
        <v>32</v>
      </c>
      <c r="L149" s="1" t="n">
        <f aca="false">J149/16</f>
        <v>16</v>
      </c>
      <c r="M149" s="1" t="n">
        <f aca="false">J149/32</f>
        <v>8</v>
      </c>
      <c r="N149" s="1" t="s">
        <v>312</v>
      </c>
      <c r="O149" s="3" t="n">
        <v>4</v>
      </c>
      <c r="P149" s="1" t="n">
        <v>4</v>
      </c>
      <c r="Q149" s="1" t="n">
        <v>0</v>
      </c>
    </row>
    <row r="150" customFormat="false" ht="15" hidden="false" customHeight="false" outlineLevel="0" collapsed="false">
      <c r="B150" s="18" t="s">
        <v>319</v>
      </c>
      <c r="C150" s="18" t="s">
        <v>320</v>
      </c>
      <c r="D150" s="1" t="n">
        <v>8</v>
      </c>
      <c r="E150" s="27" t="s">
        <v>25</v>
      </c>
      <c r="F150" s="27"/>
      <c r="G150" s="18" t="n">
        <v>0</v>
      </c>
      <c r="H150" s="27" t="s">
        <v>34</v>
      </c>
      <c r="I150" s="18" t="s">
        <v>319</v>
      </c>
      <c r="J150" s="1" t="n">
        <f aca="false">J149+D149</f>
        <v>264</v>
      </c>
      <c r="K150" s="1" t="n">
        <f aca="false">J150/8</f>
        <v>33</v>
      </c>
      <c r="L150" s="1" t="n">
        <f aca="false">J150/16</f>
        <v>16.5</v>
      </c>
      <c r="M150" s="1" t="n">
        <f aca="false">J150/32</f>
        <v>8.25</v>
      </c>
      <c r="N150" s="1" t="s">
        <v>312</v>
      </c>
      <c r="O150" s="3" t="n">
        <v>4</v>
      </c>
      <c r="P150" s="1" t="n">
        <v>5</v>
      </c>
      <c r="Q150" s="1" t="n">
        <v>0</v>
      </c>
    </row>
    <row r="151" customFormat="false" ht="15" hidden="false" customHeight="false" outlineLevel="0" collapsed="false">
      <c r="B151" s="18" t="s">
        <v>321</v>
      </c>
      <c r="C151" s="18" t="s">
        <v>322</v>
      </c>
      <c r="D151" s="1" t="n">
        <v>8</v>
      </c>
      <c r="E151" s="27" t="s">
        <v>25</v>
      </c>
      <c r="F151" s="27"/>
      <c r="G151" s="18" t="n">
        <v>0</v>
      </c>
      <c r="H151" s="27" t="s">
        <v>34</v>
      </c>
      <c r="I151" s="18" t="s">
        <v>321</v>
      </c>
      <c r="J151" s="1" t="n">
        <f aca="false">J150+D150</f>
        <v>272</v>
      </c>
      <c r="K151" s="1" t="n">
        <f aca="false">J151/8</f>
        <v>34</v>
      </c>
      <c r="L151" s="1" t="n">
        <f aca="false">J151/16</f>
        <v>17</v>
      </c>
      <c r="M151" s="1" t="n">
        <f aca="false">J151/32</f>
        <v>8.5</v>
      </c>
      <c r="N151" s="1" t="s">
        <v>312</v>
      </c>
      <c r="O151" s="3" t="n">
        <v>4</v>
      </c>
      <c r="P151" s="1" t="n">
        <v>6</v>
      </c>
      <c r="Q151" s="1" t="n">
        <v>0</v>
      </c>
    </row>
    <row r="152" customFormat="false" ht="15" hidden="false" customHeight="false" outlineLevel="0" collapsed="false">
      <c r="B152" s="18" t="s">
        <v>323</v>
      </c>
      <c r="C152" s="18" t="s">
        <v>324</v>
      </c>
      <c r="D152" s="1" t="n">
        <v>8</v>
      </c>
      <c r="E152" s="27" t="s">
        <v>25</v>
      </c>
      <c r="F152" s="27"/>
      <c r="G152" s="18" t="n">
        <v>0</v>
      </c>
      <c r="H152" s="27" t="s">
        <v>34</v>
      </c>
      <c r="I152" s="18" t="s">
        <v>323</v>
      </c>
      <c r="J152" s="1" t="n">
        <f aca="false">J151+D151</f>
        <v>280</v>
      </c>
      <c r="K152" s="1" t="n">
        <f aca="false">J152/8</f>
        <v>35</v>
      </c>
      <c r="L152" s="1" t="n">
        <f aca="false">J152/16</f>
        <v>17.5</v>
      </c>
      <c r="M152" s="1" t="n">
        <f aca="false">J152/32</f>
        <v>8.75</v>
      </c>
      <c r="N152" s="1" t="s">
        <v>312</v>
      </c>
      <c r="O152" s="3" t="n">
        <v>4</v>
      </c>
      <c r="P152" s="1" t="n">
        <v>7</v>
      </c>
      <c r="Q152" s="1" t="n">
        <v>0</v>
      </c>
    </row>
    <row r="153" customFormat="false" ht="15" hidden="false" customHeight="false" outlineLevel="0" collapsed="false">
      <c r="B153" s="18" t="s">
        <v>325</v>
      </c>
      <c r="C153" s="18" t="s">
        <v>326</v>
      </c>
      <c r="D153" s="1" t="n">
        <v>8</v>
      </c>
      <c r="E153" s="27" t="s">
        <v>25</v>
      </c>
      <c r="F153" s="27"/>
      <c r="G153" s="18" t="n">
        <v>0</v>
      </c>
      <c r="H153" s="27" t="s">
        <v>34</v>
      </c>
      <c r="I153" s="18" t="s">
        <v>325</v>
      </c>
      <c r="J153" s="1" t="n">
        <f aca="false">J152+D152</f>
        <v>288</v>
      </c>
      <c r="K153" s="1" t="n">
        <f aca="false">J153/8</f>
        <v>36</v>
      </c>
      <c r="L153" s="1" t="n">
        <f aca="false">J153/16</f>
        <v>18</v>
      </c>
      <c r="M153" s="1" t="n">
        <f aca="false">J153/32</f>
        <v>9</v>
      </c>
      <c r="N153" s="1" t="s">
        <v>287</v>
      </c>
      <c r="O153" s="3" t="n">
        <v>3</v>
      </c>
      <c r="P153" s="1" t="n">
        <v>5</v>
      </c>
      <c r="Q153" s="1" t="n">
        <v>0</v>
      </c>
    </row>
    <row r="154" customFormat="false" ht="15" hidden="false" customHeight="false" outlineLevel="0" collapsed="false">
      <c r="B154" s="18" t="s">
        <v>327</v>
      </c>
      <c r="C154" s="18" t="s">
        <v>328</v>
      </c>
      <c r="D154" s="1" t="n">
        <v>8</v>
      </c>
      <c r="E154" s="27" t="s">
        <v>25</v>
      </c>
      <c r="F154" s="27"/>
      <c r="G154" s="18" t="n">
        <v>0</v>
      </c>
      <c r="H154" s="27" t="s">
        <v>34</v>
      </c>
      <c r="I154" s="18" t="s">
        <v>327</v>
      </c>
      <c r="J154" s="1" t="n">
        <f aca="false">J153+D153</f>
        <v>296</v>
      </c>
      <c r="K154" s="1" t="n">
        <f aca="false">J154/8</f>
        <v>37</v>
      </c>
      <c r="L154" s="1" t="n">
        <f aca="false">J154/16</f>
        <v>18.5</v>
      </c>
      <c r="M154" s="1" t="n">
        <f aca="false">J154/32</f>
        <v>9.25</v>
      </c>
      <c r="N154" s="1" t="s">
        <v>287</v>
      </c>
      <c r="O154" s="3" t="n">
        <v>3</v>
      </c>
      <c r="P154" s="1" t="n">
        <v>6</v>
      </c>
      <c r="Q154" s="1" t="n">
        <v>0</v>
      </c>
    </row>
    <row r="155" customFormat="false" ht="15" hidden="false" customHeight="false" outlineLevel="0" collapsed="false">
      <c r="B155" s="18" t="s">
        <v>329</v>
      </c>
      <c r="C155" s="18" t="s">
        <v>330</v>
      </c>
      <c r="D155" s="1" t="n">
        <v>8</v>
      </c>
      <c r="E155" s="27" t="s">
        <v>25</v>
      </c>
      <c r="F155" s="27"/>
      <c r="G155" s="18" t="n">
        <v>0</v>
      </c>
      <c r="H155" s="27" t="s">
        <v>34</v>
      </c>
      <c r="I155" s="18" t="s">
        <v>329</v>
      </c>
      <c r="J155" s="1" t="n">
        <f aca="false">J154+D154</f>
        <v>304</v>
      </c>
      <c r="K155" s="1" t="n">
        <f aca="false">J155/8</f>
        <v>38</v>
      </c>
      <c r="L155" s="1" t="n">
        <f aca="false">J155/16</f>
        <v>19</v>
      </c>
      <c r="M155" s="1" t="n">
        <f aca="false">J155/32</f>
        <v>9.5</v>
      </c>
      <c r="N155" s="1" t="s">
        <v>287</v>
      </c>
      <c r="O155" s="3" t="n">
        <v>3</v>
      </c>
      <c r="P155" s="1" t="n">
        <v>7</v>
      </c>
      <c r="Q155" s="1" t="n">
        <v>0</v>
      </c>
    </row>
    <row r="156" customFormat="false" ht="15" hidden="false" customHeight="false" outlineLevel="0" collapsed="false">
      <c r="B156" s="18" t="s">
        <v>331</v>
      </c>
      <c r="C156" s="18" t="s">
        <v>332</v>
      </c>
      <c r="D156" s="1" t="n">
        <v>8</v>
      </c>
      <c r="E156" s="27" t="s">
        <v>25</v>
      </c>
      <c r="F156" s="27"/>
      <c r="G156" s="18" t="n">
        <v>0</v>
      </c>
      <c r="H156" s="27" t="s">
        <v>34</v>
      </c>
      <c r="I156" s="18" t="s">
        <v>331</v>
      </c>
      <c r="J156" s="1" t="n">
        <f aca="false">J155+D155</f>
        <v>312</v>
      </c>
      <c r="K156" s="1" t="n">
        <f aca="false">J156/8</f>
        <v>39</v>
      </c>
      <c r="L156" s="1" t="n">
        <f aca="false">J156/16</f>
        <v>19.5</v>
      </c>
      <c r="M156" s="1" t="n">
        <f aca="false">J156/32</f>
        <v>9.75</v>
      </c>
      <c r="N156" s="1" t="s">
        <v>287</v>
      </c>
      <c r="O156" s="3" t="n">
        <v>3</v>
      </c>
      <c r="P156" s="1" t="n">
        <v>8</v>
      </c>
      <c r="Q156" s="1" t="n">
        <v>0</v>
      </c>
    </row>
    <row r="157" customFormat="false" ht="15" hidden="false" customHeight="false" outlineLevel="0" collapsed="false">
      <c r="B157" s="18" t="s">
        <v>333</v>
      </c>
      <c r="C157" s="18" t="s">
        <v>334</v>
      </c>
      <c r="D157" s="1" t="n">
        <v>8</v>
      </c>
      <c r="E157" s="27" t="s">
        <v>25</v>
      </c>
      <c r="F157" s="27"/>
      <c r="G157" s="18" t="n">
        <v>0</v>
      </c>
      <c r="H157" s="27" t="s">
        <v>34</v>
      </c>
      <c r="I157" s="18" t="s">
        <v>333</v>
      </c>
      <c r="J157" s="1" t="n">
        <f aca="false">J156+D156</f>
        <v>320</v>
      </c>
      <c r="K157" s="1" t="n">
        <f aca="false">J157/8</f>
        <v>40</v>
      </c>
      <c r="L157" s="1" t="n">
        <f aca="false">J157/16</f>
        <v>20</v>
      </c>
      <c r="M157" s="1" t="n">
        <f aca="false">J157/32</f>
        <v>10</v>
      </c>
      <c r="N157" s="1" t="s">
        <v>287</v>
      </c>
      <c r="O157" s="3" t="n">
        <v>3</v>
      </c>
      <c r="P157" s="1" t="n">
        <v>9</v>
      </c>
      <c r="Q157" s="1" t="n">
        <v>0</v>
      </c>
    </row>
    <row r="158" customFormat="false" ht="15" hidden="false" customHeight="false" outlineLevel="0" collapsed="false">
      <c r="B158" s="18" t="s">
        <v>335</v>
      </c>
      <c r="C158" s="18" t="s">
        <v>336</v>
      </c>
      <c r="D158" s="1" t="n">
        <v>8</v>
      </c>
      <c r="E158" s="27" t="s">
        <v>25</v>
      </c>
      <c r="F158" s="27"/>
      <c r="G158" s="18" t="n">
        <v>0</v>
      </c>
      <c r="H158" s="27" t="s">
        <v>34</v>
      </c>
      <c r="I158" s="18" t="s">
        <v>335</v>
      </c>
      <c r="J158" s="1" t="n">
        <f aca="false">J157+D157</f>
        <v>328</v>
      </c>
      <c r="K158" s="1" t="n">
        <f aca="false">J158/8</f>
        <v>41</v>
      </c>
      <c r="L158" s="1" t="n">
        <f aca="false">J158/16</f>
        <v>20.5</v>
      </c>
      <c r="M158" s="1" t="n">
        <f aca="false">J158/32</f>
        <v>10.25</v>
      </c>
      <c r="N158" s="1" t="s">
        <v>287</v>
      </c>
      <c r="O158" s="3" t="n">
        <v>3</v>
      </c>
      <c r="P158" s="1" t="n">
        <v>10</v>
      </c>
      <c r="Q158" s="1" t="n">
        <v>0</v>
      </c>
    </row>
    <row r="159" customFormat="false" ht="15" hidden="false" customHeight="false" outlineLevel="0" collapsed="false">
      <c r="B159" s="18" t="s">
        <v>337</v>
      </c>
      <c r="C159" s="18" t="s">
        <v>338</v>
      </c>
      <c r="D159" s="1" t="n">
        <v>8</v>
      </c>
      <c r="E159" s="27" t="s">
        <v>25</v>
      </c>
      <c r="F159" s="27"/>
      <c r="G159" s="18" t="n">
        <v>0</v>
      </c>
      <c r="H159" s="27" t="s">
        <v>34</v>
      </c>
      <c r="I159" s="18" t="s">
        <v>337</v>
      </c>
      <c r="J159" s="1" t="n">
        <f aca="false">J158+D158</f>
        <v>336</v>
      </c>
      <c r="K159" s="1" t="n">
        <f aca="false">J159/8</f>
        <v>42</v>
      </c>
      <c r="L159" s="1" t="n">
        <f aca="false">J159/16</f>
        <v>21</v>
      </c>
      <c r="M159" s="1" t="n">
        <f aca="false">J159/32</f>
        <v>10.5</v>
      </c>
      <c r="N159" s="1" t="s">
        <v>109</v>
      </c>
      <c r="O159" s="3" t="n">
        <v>2</v>
      </c>
      <c r="P159" s="1" t="n">
        <v>9</v>
      </c>
      <c r="Q159" s="1" t="n">
        <v>0</v>
      </c>
    </row>
    <row r="160" customFormat="false" ht="15" hidden="false" customHeight="false" outlineLevel="0" collapsed="false">
      <c r="B160" s="18" t="s">
        <v>339</v>
      </c>
      <c r="C160" s="18" t="s">
        <v>340</v>
      </c>
      <c r="D160" s="1" t="n">
        <v>8</v>
      </c>
      <c r="E160" s="27" t="s">
        <v>25</v>
      </c>
      <c r="F160" s="27"/>
      <c r="G160" s="18" t="n">
        <v>0</v>
      </c>
      <c r="H160" s="27" t="s">
        <v>34</v>
      </c>
      <c r="I160" s="18" t="s">
        <v>339</v>
      </c>
      <c r="J160" s="1" t="n">
        <f aca="false">J159+D159</f>
        <v>344</v>
      </c>
      <c r="K160" s="1" t="n">
        <f aca="false">J160/8</f>
        <v>43</v>
      </c>
      <c r="L160" s="1" t="n">
        <f aca="false">J160/16</f>
        <v>21.5</v>
      </c>
      <c r="M160" s="1" t="n">
        <f aca="false">J160/32</f>
        <v>10.75</v>
      </c>
      <c r="N160" s="1" t="s">
        <v>109</v>
      </c>
      <c r="O160" s="3" t="n">
        <v>2</v>
      </c>
      <c r="P160" s="1" t="n">
        <v>10</v>
      </c>
      <c r="Q160" s="1" t="n">
        <v>0</v>
      </c>
    </row>
    <row r="161" customFormat="false" ht="15" hidden="false" customHeight="false" outlineLevel="0" collapsed="false">
      <c r="B161" s="18" t="s">
        <v>341</v>
      </c>
      <c r="C161" s="18" t="s">
        <v>342</v>
      </c>
      <c r="D161" s="1" t="n">
        <v>8</v>
      </c>
      <c r="E161" s="27" t="s">
        <v>25</v>
      </c>
      <c r="F161" s="27"/>
      <c r="G161" s="18" t="n">
        <v>0</v>
      </c>
      <c r="H161" s="27" t="s">
        <v>34</v>
      </c>
      <c r="I161" s="18" t="s">
        <v>341</v>
      </c>
      <c r="J161" s="1" t="n">
        <f aca="false">J160+D160</f>
        <v>352</v>
      </c>
      <c r="K161" s="1" t="n">
        <f aca="false">J161/8</f>
        <v>44</v>
      </c>
      <c r="L161" s="1" t="n">
        <f aca="false">J161/16</f>
        <v>22</v>
      </c>
      <c r="M161" s="1" t="n">
        <f aca="false">J161/32</f>
        <v>11</v>
      </c>
      <c r="N161" s="1" t="s">
        <v>287</v>
      </c>
      <c r="O161" s="3" t="n">
        <v>3</v>
      </c>
      <c r="P161" s="1" t="n">
        <v>11</v>
      </c>
      <c r="Q161" s="1" t="n">
        <v>0</v>
      </c>
    </row>
    <row r="162" customFormat="false" ht="15" hidden="false" customHeight="false" outlineLevel="0" collapsed="false">
      <c r="B162" s="18" t="s">
        <v>343</v>
      </c>
      <c r="C162" s="18" t="s">
        <v>344</v>
      </c>
      <c r="D162" s="1" t="n">
        <v>8</v>
      </c>
      <c r="E162" s="27" t="s">
        <v>25</v>
      </c>
      <c r="F162" s="27"/>
      <c r="G162" s="18" t="n">
        <v>0</v>
      </c>
      <c r="H162" s="27" t="s">
        <v>34</v>
      </c>
      <c r="I162" s="18" t="s">
        <v>343</v>
      </c>
      <c r="J162" s="1" t="n">
        <f aca="false">J161+D161</f>
        <v>360</v>
      </c>
      <c r="K162" s="1" t="n">
        <f aca="false">J162/8</f>
        <v>45</v>
      </c>
      <c r="L162" s="1" t="n">
        <f aca="false">J162/16</f>
        <v>22.5</v>
      </c>
      <c r="M162" s="1" t="n">
        <f aca="false">J162/32</f>
        <v>11.25</v>
      </c>
      <c r="N162" s="1" t="s">
        <v>287</v>
      </c>
      <c r="O162" s="3" t="n">
        <v>3</v>
      </c>
      <c r="P162" s="1" t="n">
        <v>12</v>
      </c>
      <c r="Q162" s="1" t="n">
        <v>0</v>
      </c>
    </row>
    <row r="163" customFormat="false" ht="15" hidden="false" customHeight="false" outlineLevel="0" collapsed="false">
      <c r="B163" s="18" t="s">
        <v>345</v>
      </c>
      <c r="C163" s="18" t="s">
        <v>346</v>
      </c>
      <c r="D163" s="1" t="n">
        <v>8</v>
      </c>
      <c r="E163" s="27" t="s">
        <v>25</v>
      </c>
      <c r="F163" s="27"/>
      <c r="G163" s="18" t="n">
        <v>0</v>
      </c>
      <c r="H163" s="27" t="s">
        <v>34</v>
      </c>
      <c r="I163" s="18" t="s">
        <v>345</v>
      </c>
      <c r="J163" s="1" t="n">
        <f aca="false">J162+D162</f>
        <v>368</v>
      </c>
      <c r="K163" s="1" t="n">
        <f aca="false">J163/8</f>
        <v>46</v>
      </c>
      <c r="L163" s="1" t="n">
        <f aca="false">J163/16</f>
        <v>23</v>
      </c>
      <c r="M163" s="1" t="n">
        <f aca="false">J163/32</f>
        <v>11.5</v>
      </c>
      <c r="N163" s="1" t="s">
        <v>287</v>
      </c>
      <c r="O163" s="3" t="n">
        <v>3</v>
      </c>
      <c r="P163" s="1" t="n">
        <v>13</v>
      </c>
      <c r="Q163" s="1" t="n">
        <v>0</v>
      </c>
    </row>
    <row r="164" customFormat="false" ht="15" hidden="false" customHeight="false" outlineLevel="0" collapsed="false">
      <c r="B164" s="18" t="s">
        <v>347</v>
      </c>
      <c r="C164" s="18" t="s">
        <v>348</v>
      </c>
      <c r="D164" s="1" t="n">
        <v>8</v>
      </c>
      <c r="E164" s="27" t="s">
        <v>25</v>
      </c>
      <c r="F164" s="27"/>
      <c r="G164" s="18" t="n">
        <v>0</v>
      </c>
      <c r="H164" s="27" t="s">
        <v>34</v>
      </c>
      <c r="I164" s="18" t="s">
        <v>347</v>
      </c>
      <c r="J164" s="1" t="n">
        <f aca="false">J163+D163</f>
        <v>376</v>
      </c>
      <c r="K164" s="1" t="n">
        <f aca="false">J164/8</f>
        <v>47</v>
      </c>
      <c r="L164" s="1" t="n">
        <f aca="false">J164/16</f>
        <v>23.5</v>
      </c>
      <c r="M164" s="1" t="n">
        <f aca="false">J164/32</f>
        <v>11.75</v>
      </c>
      <c r="N164" s="1" t="s">
        <v>287</v>
      </c>
      <c r="O164" s="3" t="n">
        <v>3</v>
      </c>
      <c r="P164" s="1" t="n">
        <v>14</v>
      </c>
      <c r="Q164" s="1" t="n">
        <v>0</v>
      </c>
    </row>
    <row r="165" customFormat="false" ht="15" hidden="false" customHeight="false" outlineLevel="0" collapsed="false">
      <c r="B165" s="18" t="s">
        <v>349</v>
      </c>
      <c r="C165" s="18" t="s">
        <v>350</v>
      </c>
      <c r="D165" s="1" t="n">
        <v>8</v>
      </c>
      <c r="E165" s="27" t="s">
        <v>25</v>
      </c>
      <c r="F165" s="27"/>
      <c r="G165" s="18" t="n">
        <v>0</v>
      </c>
      <c r="H165" s="27" t="s">
        <v>34</v>
      </c>
      <c r="I165" s="18" t="s">
        <v>349</v>
      </c>
      <c r="J165" s="1" t="n">
        <f aca="false">J164+D164</f>
        <v>384</v>
      </c>
      <c r="K165" s="1" t="n">
        <f aca="false">J165/8</f>
        <v>48</v>
      </c>
      <c r="L165" s="1" t="n">
        <f aca="false">J165/16</f>
        <v>24</v>
      </c>
      <c r="M165" s="1" t="n">
        <f aca="false">J165/32</f>
        <v>12</v>
      </c>
      <c r="N165" s="1" t="s">
        <v>287</v>
      </c>
      <c r="O165" s="3" t="n">
        <v>3</v>
      </c>
      <c r="P165" s="1" t="n">
        <v>15</v>
      </c>
      <c r="Q165" s="1" t="n">
        <v>0</v>
      </c>
    </row>
    <row r="166" customFormat="false" ht="15" hidden="false" customHeight="false" outlineLevel="0" collapsed="false">
      <c r="B166" s="18" t="s">
        <v>351</v>
      </c>
      <c r="C166" s="18" t="s">
        <v>352</v>
      </c>
      <c r="D166" s="1" t="n">
        <v>8</v>
      </c>
      <c r="E166" s="27" t="s">
        <v>25</v>
      </c>
      <c r="F166" s="27"/>
      <c r="G166" s="18" t="n">
        <v>0</v>
      </c>
      <c r="H166" s="27" t="s">
        <v>34</v>
      </c>
      <c r="I166" s="18" t="s">
        <v>351</v>
      </c>
      <c r="J166" s="1" t="n">
        <f aca="false">J165+D165</f>
        <v>392</v>
      </c>
      <c r="K166" s="1" t="n">
        <f aca="false">J166/8</f>
        <v>49</v>
      </c>
      <c r="L166" s="1" t="n">
        <f aca="false">J166/16</f>
        <v>24.5</v>
      </c>
      <c r="M166" s="1" t="n">
        <f aca="false">J166/32</f>
        <v>12.25</v>
      </c>
      <c r="N166" s="1" t="s">
        <v>109</v>
      </c>
      <c r="O166" s="3" t="n">
        <v>2</v>
      </c>
      <c r="P166" s="1" t="n">
        <v>11</v>
      </c>
      <c r="Q166" s="1" t="n">
        <v>0</v>
      </c>
    </row>
    <row r="167" customFormat="false" ht="15" hidden="false" customHeight="false" outlineLevel="0" collapsed="false">
      <c r="B167" s="18" t="s">
        <v>353</v>
      </c>
      <c r="C167" s="18" t="s">
        <v>354</v>
      </c>
      <c r="D167" s="1" t="n">
        <v>8</v>
      </c>
      <c r="E167" s="27" t="s">
        <v>25</v>
      </c>
      <c r="F167" s="27"/>
      <c r="G167" s="18" t="n">
        <v>0</v>
      </c>
      <c r="H167" s="27" t="s">
        <v>34</v>
      </c>
      <c r="I167" s="18" t="s">
        <v>353</v>
      </c>
      <c r="J167" s="1" t="n">
        <f aca="false">J166+D166</f>
        <v>400</v>
      </c>
      <c r="K167" s="1" t="n">
        <f aca="false">J167/8</f>
        <v>50</v>
      </c>
      <c r="L167" s="1" t="n">
        <f aca="false">J167/16</f>
        <v>25</v>
      </c>
      <c r="M167" s="1" t="n">
        <f aca="false">J167/32</f>
        <v>12.5</v>
      </c>
      <c r="N167" s="1" t="s">
        <v>109</v>
      </c>
      <c r="O167" s="3" t="n">
        <v>2</v>
      </c>
      <c r="P167" s="1" t="n">
        <v>12</v>
      </c>
      <c r="Q167" s="1" t="n">
        <v>0</v>
      </c>
    </row>
    <row r="168" customFormat="false" ht="15" hidden="false" customHeight="false" outlineLevel="0" collapsed="false">
      <c r="B168" s="18" t="s">
        <v>355</v>
      </c>
      <c r="C168" s="18" t="s">
        <v>356</v>
      </c>
      <c r="D168" s="1" t="n">
        <v>8</v>
      </c>
      <c r="E168" s="27" t="s">
        <v>25</v>
      </c>
      <c r="F168" s="27"/>
      <c r="G168" s="18" t="n">
        <v>0</v>
      </c>
      <c r="H168" s="27" t="s">
        <v>34</v>
      </c>
      <c r="I168" s="18" t="s">
        <v>355</v>
      </c>
      <c r="J168" s="1" t="n">
        <f aca="false">J167+D167</f>
        <v>408</v>
      </c>
      <c r="K168" s="1" t="n">
        <f aca="false">J168/8</f>
        <v>51</v>
      </c>
      <c r="L168" s="1" t="n">
        <f aca="false">J168/16</f>
        <v>25.5</v>
      </c>
      <c r="M168" s="1" t="n">
        <f aca="false">J168/32</f>
        <v>12.75</v>
      </c>
      <c r="N168" s="1" t="s">
        <v>109</v>
      </c>
      <c r="O168" s="3" t="n">
        <v>2</v>
      </c>
      <c r="P168" s="1" t="n">
        <v>13</v>
      </c>
      <c r="Q168" s="1" t="n">
        <v>0</v>
      </c>
    </row>
    <row r="169" customFormat="false" ht="15" hidden="false" customHeight="false" outlineLevel="0" collapsed="false">
      <c r="B169" s="3" t="s">
        <v>357</v>
      </c>
      <c r="C169" s="3" t="s">
        <v>358</v>
      </c>
      <c r="D169" s="1" t="n">
        <v>16</v>
      </c>
      <c r="E169" s="27" t="s">
        <v>25</v>
      </c>
      <c r="F169" s="27" t="s">
        <v>65</v>
      </c>
      <c r="G169" s="18" t="n">
        <v>0</v>
      </c>
      <c r="H169" s="27" t="s">
        <v>34</v>
      </c>
      <c r="I169" s="3" t="s">
        <v>357</v>
      </c>
      <c r="J169" s="1" t="n">
        <f aca="false">J168+D168</f>
        <v>416</v>
      </c>
      <c r="K169" s="1" t="n">
        <f aca="false">J169/8</f>
        <v>52</v>
      </c>
      <c r="L169" s="1" t="n">
        <f aca="false">J169/16</f>
        <v>26</v>
      </c>
      <c r="M169" s="1" t="n">
        <f aca="false">J169/32</f>
        <v>13</v>
      </c>
      <c r="N169" s="1" t="s">
        <v>109</v>
      </c>
      <c r="O169" s="3" t="n">
        <v>2</v>
      </c>
      <c r="P169" s="1" t="n">
        <v>14</v>
      </c>
      <c r="Q169" s="1" t="n">
        <v>0</v>
      </c>
    </row>
    <row r="170" customFormat="false" ht="15" hidden="false" customHeight="false" outlineLevel="0" collapsed="false">
      <c r="B170" s="18" t="s">
        <v>359</v>
      </c>
      <c r="C170" s="18" t="s">
        <v>360</v>
      </c>
      <c r="D170" s="1" t="n">
        <v>8</v>
      </c>
      <c r="E170" s="27" t="s">
        <v>25</v>
      </c>
      <c r="F170" s="27"/>
      <c r="G170" s="18" t="n">
        <v>2</v>
      </c>
      <c r="H170" s="27" t="s">
        <v>34</v>
      </c>
      <c r="I170" s="18" t="s">
        <v>359</v>
      </c>
      <c r="J170" s="1" t="n">
        <f aca="false">J169+D169</f>
        <v>432</v>
      </c>
      <c r="K170" s="1" t="n">
        <f aca="false">J170/8</f>
        <v>54</v>
      </c>
      <c r="L170" s="1" t="n">
        <f aca="false">J170/16</f>
        <v>27</v>
      </c>
      <c r="M170" s="1" t="n">
        <f aca="false">J170/32</f>
        <v>13.5</v>
      </c>
      <c r="N170" s="1" t="s">
        <v>109</v>
      </c>
      <c r="O170" s="3" t="n">
        <v>2</v>
      </c>
      <c r="P170" s="1" t="n">
        <v>15</v>
      </c>
      <c r="Q170" s="1" t="n">
        <v>0</v>
      </c>
    </row>
    <row r="171" customFormat="false" ht="15" hidden="false" customHeight="false" outlineLevel="0" collapsed="false">
      <c r="B171" s="18" t="s">
        <v>361</v>
      </c>
      <c r="C171" s="18" t="s">
        <v>362</v>
      </c>
      <c r="D171" s="1" t="n">
        <v>8</v>
      </c>
      <c r="E171" s="27" t="s">
        <v>25</v>
      </c>
      <c r="F171" s="27"/>
      <c r="G171" s="18" t="n">
        <v>2</v>
      </c>
      <c r="H171" s="27" t="s">
        <v>34</v>
      </c>
      <c r="I171" s="18" t="s">
        <v>363</v>
      </c>
      <c r="J171" s="1" t="n">
        <f aca="false">J170+D170</f>
        <v>440</v>
      </c>
      <c r="K171" s="1" t="n">
        <f aca="false">J171/8</f>
        <v>55</v>
      </c>
      <c r="L171" s="1" t="n">
        <f aca="false">J171/16</f>
        <v>27.5</v>
      </c>
      <c r="M171" s="1" t="n">
        <f aca="false">J171/32</f>
        <v>13.75</v>
      </c>
      <c r="N171" s="1" t="s">
        <v>109</v>
      </c>
      <c r="O171" s="3" t="n">
        <v>2</v>
      </c>
      <c r="P171" s="1" t="n">
        <v>16</v>
      </c>
      <c r="Q171" s="1" t="n">
        <v>0</v>
      </c>
    </row>
    <row r="172" customFormat="false" ht="15" hidden="false" customHeight="false" outlineLevel="0" collapsed="false">
      <c r="B172" s="18" t="s">
        <v>364</v>
      </c>
      <c r="C172" s="18" t="s">
        <v>365</v>
      </c>
      <c r="D172" s="1" t="n">
        <v>8</v>
      </c>
      <c r="E172" s="27" t="s">
        <v>25</v>
      </c>
      <c r="F172" s="27"/>
      <c r="G172" s="18" t="n">
        <v>2</v>
      </c>
      <c r="H172" s="27" t="s">
        <v>34</v>
      </c>
      <c r="I172" s="18" t="s">
        <v>366</v>
      </c>
      <c r="J172" s="1" t="n">
        <f aca="false">J171+D171</f>
        <v>448</v>
      </c>
      <c r="K172" s="1" t="n">
        <f aca="false">J172/8</f>
        <v>56</v>
      </c>
      <c r="L172" s="1" t="n">
        <f aca="false">J172/16</f>
        <v>28</v>
      </c>
      <c r="M172" s="1" t="n">
        <f aca="false">J172/32</f>
        <v>14</v>
      </c>
      <c r="N172" s="1" t="s">
        <v>109</v>
      </c>
      <c r="O172" s="3" t="n">
        <v>2</v>
      </c>
      <c r="P172" s="1" t="n">
        <v>17</v>
      </c>
      <c r="Q172" s="1" t="n">
        <v>0</v>
      </c>
    </row>
    <row r="173" customFormat="false" ht="15" hidden="false" customHeight="false" outlineLevel="0" collapsed="false">
      <c r="B173" s="3" t="s">
        <v>367</v>
      </c>
      <c r="C173" s="3" t="s">
        <v>368</v>
      </c>
      <c r="D173" s="1" t="n">
        <v>24</v>
      </c>
      <c r="E173" s="27" t="s">
        <v>369</v>
      </c>
      <c r="F173" s="27"/>
      <c r="G173" s="18" t="n">
        <v>0</v>
      </c>
      <c r="H173" s="27" t="s">
        <v>34</v>
      </c>
      <c r="I173" s="27" t="s">
        <v>264</v>
      </c>
      <c r="J173" s="1" t="n">
        <f aca="false">J172+D172</f>
        <v>456</v>
      </c>
      <c r="K173" s="1" t="n">
        <f aca="false">J173/8</f>
        <v>57</v>
      </c>
      <c r="L173" s="1" t="n">
        <f aca="false">J173/16</f>
        <v>28.5</v>
      </c>
      <c r="M173" s="1" t="n">
        <f aca="false">J173/32</f>
        <v>14.25</v>
      </c>
      <c r="N173" s="1" t="s">
        <v>28</v>
      </c>
      <c r="O173" s="3" t="n">
        <v>0</v>
      </c>
      <c r="P173" s="1" t="n">
        <v>0</v>
      </c>
      <c r="Q173" s="1" t="n">
        <v>0</v>
      </c>
    </row>
    <row r="174" customFormat="false" ht="15" hidden="false" customHeight="false" outlineLevel="0" collapsed="false">
      <c r="A174" s="1" t="s">
        <v>45</v>
      </c>
      <c r="F174" s="27"/>
      <c r="G174" s="27"/>
      <c r="H174" s="27"/>
      <c r="I174" s="27"/>
      <c r="J174" s="1" t="n">
        <f aca="false">J173+D173</f>
        <v>480</v>
      </c>
      <c r="K174" s="1" t="n">
        <f aca="false">J174/8</f>
        <v>60</v>
      </c>
      <c r="L174" s="1" t="n">
        <f aca="false">J174/16</f>
        <v>30</v>
      </c>
      <c r="M174" s="1" t="n">
        <f aca="false">J174/32</f>
        <v>15</v>
      </c>
    </row>
    <row r="175" customFormat="false" ht="15" hidden="false" customHeight="false" outlineLevel="0" collapsed="false">
      <c r="B175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I1"/>
    <mergeCell ref="B2:I2"/>
    <mergeCell ref="B3:I3"/>
    <mergeCell ref="B4:I4"/>
    <mergeCell ref="B5:I5"/>
    <mergeCell ref="B18:I18"/>
    <mergeCell ref="B50:I50"/>
  </mergeCells>
  <hyperlinks>
    <hyperlink ref="A126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31640625" defaultRowHeight="12.75" zeroHeight="false" outlineLevelRow="0" outlineLevelCol="0"/>
  <cols>
    <col collapsed="false" customWidth="true" hidden="false" outlineLevel="0" max="3" min="3" style="0" width="20.57"/>
    <col collapsed="false" customWidth="true" hidden="false" outlineLevel="0" max="4" min="4" style="0" width="16.14"/>
    <col collapsed="false" customWidth="true" hidden="false" outlineLevel="0" max="6" min="6" style="0" width="13.7"/>
  </cols>
  <sheetData>
    <row r="6" s="34" customFormat="true" ht="34.5" hidden="false" customHeight="true" outlineLevel="0" collapsed="false">
      <c r="B6" s="35"/>
      <c r="C6" s="35" t="s">
        <v>370</v>
      </c>
      <c r="D6" s="35" t="s">
        <v>371</v>
      </c>
      <c r="E6" s="35" t="s">
        <v>372</v>
      </c>
      <c r="F6" s="35" t="s">
        <v>373</v>
      </c>
      <c r="G6" s="35" t="s">
        <v>374</v>
      </c>
      <c r="H6" s="35" t="s">
        <v>375</v>
      </c>
      <c r="I6" s="35"/>
    </row>
    <row r="7" customFormat="false" ht="12.75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75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75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75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75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75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75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75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75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75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75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75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75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75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95257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2026-04-21T10:44:28Z</dcterms:modified>
  <cp:revision>480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